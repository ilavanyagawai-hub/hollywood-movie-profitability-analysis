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vanya/Downloads/Hollywood Movie Profitability &amp; Performance Analysis (2007–2011) /"/>
    </mc:Choice>
  </mc:AlternateContent>
  <xr:revisionPtr revIDLastSave="0" documentId="8_{A4E3E5E3-3345-5E4A-938F-39DDC17485FD}" xr6:coauthVersionLast="47" xr6:coauthVersionMax="47" xr10:uidLastSave="{00000000-0000-0000-0000-000000000000}"/>
  <bookViews>
    <workbookView xWindow="0" yWindow="660" windowWidth="29400" windowHeight="18460" xr2:uid="{838CE5E3-14FA-A544-8E4E-9FC81EA45A81}"/>
  </bookViews>
  <sheets>
    <sheet name="Hollywoods Movie Cleaned" sheetId="3" r:id="rId1"/>
  </sheets>
  <definedNames>
    <definedName name="ExternalData_1" localSheetId="0" hidden="1">'Hollywoods Movie Cleaned'!$A$1:$H$71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F0754-C4F5-184A-895C-C2310204448B}" keepAlive="1" name="Query - HollywoodsMostProfitableStories" description="Connection to the 'HollywoodsMostProfitableStories' query in the workbook." type="5" refreshedVersion="8" background="1" saveData="1">
    <dbPr connection="Provider=Microsoft.Mashup.OleDb.1;Data Source=$Workbook$;Location=HollywoodsMostProfitableStories;Extended Properties=&quot;&quot;" command="SELECT * FROM [HollywoodsMostProfitableStories]"/>
  </connection>
</connections>
</file>

<file path=xl/sharedStrings.xml><?xml version="1.0" encoding="utf-8"?>
<sst xmlns="http://schemas.openxmlformats.org/spreadsheetml/2006/main" count="221" uniqueCount="101">
  <si>
    <t>Film</t>
  </si>
  <si>
    <t>Genre</t>
  </si>
  <si>
    <t>Lead Studio</t>
  </si>
  <si>
    <t>Audience  score %</t>
  </si>
  <si>
    <t>Profitability</t>
  </si>
  <si>
    <t>Rotten Tomatoes %</t>
  </si>
  <si>
    <t>Worldwide Gross</t>
  </si>
  <si>
    <t>Year</t>
  </si>
  <si>
    <t>27 Dresses</t>
  </si>
  <si>
    <t>Comedy</t>
  </si>
  <si>
    <t>Fox</t>
  </si>
  <si>
    <t>(500) Days of Summer</t>
  </si>
  <si>
    <t>A Dangerous Method</t>
  </si>
  <si>
    <t>Drama</t>
  </si>
  <si>
    <t>Independent</t>
  </si>
  <si>
    <t>A Serious Man</t>
  </si>
  <si>
    <t>Universal</t>
  </si>
  <si>
    <t>Across the Universe</t>
  </si>
  <si>
    <t>Romance</t>
  </si>
  <si>
    <t>Beginners</t>
  </si>
  <si>
    <t>Dear John</t>
  </si>
  <si>
    <t>Sony</t>
  </si>
  <si>
    <t>Enchanted</t>
  </si>
  <si>
    <t>Disney</t>
  </si>
  <si>
    <t>Fireproof</t>
  </si>
  <si>
    <t>Four Christmases</t>
  </si>
  <si>
    <t>Warner Bros.</t>
  </si>
  <si>
    <t>Ghosts of Girlfriends Past</t>
  </si>
  <si>
    <t>Gnomeo and Juliet</t>
  </si>
  <si>
    <t>Animation</t>
  </si>
  <si>
    <t>Going the Distance</t>
  </si>
  <si>
    <t>Good Luck Chuck</t>
  </si>
  <si>
    <t>Lionsgate</t>
  </si>
  <si>
    <t>He's Just Not That Into You</t>
  </si>
  <si>
    <t>High School Musical 3: Senior Year</t>
  </si>
  <si>
    <t>I Love You Phillip Morris</t>
  </si>
  <si>
    <t>It's Complicated</t>
  </si>
  <si>
    <t>Just Wright</t>
  </si>
  <si>
    <t>Killers</t>
  </si>
  <si>
    <t>Action</t>
  </si>
  <si>
    <t>Knocked Up</t>
  </si>
  <si>
    <t>Leap Year</t>
  </si>
  <si>
    <t>Letters to Juliet</t>
  </si>
  <si>
    <t>Summit</t>
  </si>
  <si>
    <t>License to Wed</t>
  </si>
  <si>
    <t>Life as We Know It</t>
  </si>
  <si>
    <t>Love &amp; Other Drugs</t>
  </si>
  <si>
    <t>Love Happens</t>
  </si>
  <si>
    <t>Made of Honor</t>
  </si>
  <si>
    <t>Mamma Mia!</t>
  </si>
  <si>
    <t>Marley and Me</t>
  </si>
  <si>
    <t>Midnight in Paris</t>
  </si>
  <si>
    <t>Miss Pettigrew Lives for a Day</t>
  </si>
  <si>
    <t>Monte Carlo</t>
  </si>
  <si>
    <t>20th Century Fox</t>
  </si>
  <si>
    <t>Music and Lyrics</t>
  </si>
  <si>
    <t>My Week with Marilyn</t>
  </si>
  <si>
    <t>The Weinstein Company</t>
  </si>
  <si>
    <t>New Year's Eve</t>
  </si>
  <si>
    <t>Nick and Norah's Infinite Playlist</t>
  </si>
  <si>
    <t>No Reservations</t>
  </si>
  <si>
    <t>Not Easily Broken</t>
  </si>
  <si>
    <t>One Day</t>
  </si>
  <si>
    <t>Over Her Dead Body</t>
  </si>
  <si>
    <t>New Line</t>
  </si>
  <si>
    <t>P.S. I Love You</t>
  </si>
  <si>
    <t>Penelope</t>
  </si>
  <si>
    <t>Rachel Getting Married</t>
  </si>
  <si>
    <t>Remember Me</t>
  </si>
  <si>
    <t>Sex and the City</t>
  </si>
  <si>
    <t>Sex and the City 2</t>
  </si>
  <si>
    <t>She's Out of My League</t>
  </si>
  <si>
    <t>Paramount</t>
  </si>
  <si>
    <t>Tangled</t>
  </si>
  <si>
    <t>The Back-up Plan</t>
  </si>
  <si>
    <t>CBS</t>
  </si>
  <si>
    <t>The Curious Case of Benjamin Button</t>
  </si>
  <si>
    <t>Fantasy</t>
  </si>
  <si>
    <t>The Duchess</t>
  </si>
  <si>
    <t>The Heartbreak Kid</t>
  </si>
  <si>
    <t>The Invention of Lying</t>
  </si>
  <si>
    <t>The Proposal</t>
  </si>
  <si>
    <t>The Time Traveler's Wife</t>
  </si>
  <si>
    <t>The Twilight Saga: New Moon</t>
  </si>
  <si>
    <t>The Ugly Truth</t>
  </si>
  <si>
    <t>Twilight</t>
  </si>
  <si>
    <t>Twilight: Breaking Dawn</t>
  </si>
  <si>
    <t>Tyler Perry's Why Did I get Married</t>
  </si>
  <si>
    <t>Valentine's Day</t>
  </si>
  <si>
    <t>Waiting For Forever</t>
  </si>
  <si>
    <t>Waitress</t>
  </si>
  <si>
    <t>WALL-E</t>
  </si>
  <si>
    <t>Water For Elephants</t>
  </si>
  <si>
    <t>What Happens in Vegas</t>
  </si>
  <si>
    <t>You Will Meet a Tall Dark Stranger</t>
  </si>
  <si>
    <t>Youth in Revolt</t>
  </si>
  <si>
    <t>Zack and Miri Make a Porno</t>
  </si>
  <si>
    <t/>
  </si>
  <si>
    <t>Rating Category</t>
  </si>
  <si>
    <t>Profit Category</t>
  </si>
  <si>
    <t>Gross Categpry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</si>
</sst>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Display (Headings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20BD2D-CE11-4247-97F9-8C11664248CF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Film" tableColumnId="1"/>
      <queryTableField id="2" name="Genre" tableColumnId="2"/>
      <queryTableField id="3" name="Lead Studio" tableColumnId="3"/>
      <queryTableField id="4" name="Audience  score %" tableColumnId="4"/>
      <queryTableField id="5" name="Profitability" tableColumnId="5"/>
      <queryTableField id="6" name="Rotten Tomatoes %" tableColumnId="6"/>
      <queryTableField id="7" name="Worldwide Gross" tableColumnId="7"/>
      <queryTableField id="8" name="Year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3FB93-0963-C94E-9562-397E8CAD80DA}" name="HollywoodsMostProfitableStories" displayName="HollywoodsMostProfitableStories" ref="A1:K71" tableType="queryTable" totalsRowShown="0">
  <autoFilter ref="A1:K71" xr:uid="{4E13FB93-0963-C94E-9562-397E8CAD80DA}"/>
  <tableColumns count="11">
    <tableColumn id="1" xr3:uid="{EA869DFB-3580-634E-B62C-06561E2E2C40}" uniqueName="1" name="Film" queryTableFieldId="1" dataDxfId="5"/>
    <tableColumn id="2" xr3:uid="{7C01A2EE-06DE-914F-93E5-2071C1B7D47E}" uniqueName="2" name="Genre" queryTableFieldId="2" dataDxfId="4"/>
    <tableColumn id="3" xr3:uid="{38512AE9-EBA9-B14D-873F-F244F6C0D56F}" uniqueName="3" name="Lead Studio" queryTableFieldId="3" dataDxfId="3"/>
    <tableColumn id="4" xr3:uid="{58868CA4-4B9A-C848-8EC5-4366801411BC}" uniqueName="4" name="Audience  score %" queryTableFieldId="4"/>
    <tableColumn id="5" xr3:uid="{E7C817F7-D02F-204E-B70D-147CBA229785}" uniqueName="5" name="Profitability" queryTableFieldId="5"/>
    <tableColumn id="6" xr3:uid="{E97EBE40-0096-3348-A5B7-7189B25B7B17}" uniqueName="6" name="Rotten Tomatoes %" queryTableFieldId="6"/>
    <tableColumn id="7" xr3:uid="{75E10614-58E6-514D-96B4-687FD1DF9BE3}" uniqueName="7" name="Worldwide Gross" queryTableFieldId="7"/>
    <tableColumn id="8" xr3:uid="{6429455B-8263-3B49-864B-82E429CF5595}" uniqueName="8" name="Year" queryTableFieldId="8"/>
    <tableColumn id="9" xr3:uid="{CCFE05AF-7228-3340-83E7-309D3685CDBD}" uniqueName="9" name="Rating Category" queryTableFieldId="9" dataDxfId="2">
      <calculatedColumnFormula>IF(HollywoodsMostProfitableStories[[#This Row],[Audience  score %]]&gt;=80,"Excellent",IF(HollywoodsMostProfitableStories[[#This Row],[Audience  score %]]&gt;=60,"Good",IF(HollywoodsMostProfitableStories[[#This Row],[Audience  score %]]&gt;=40,"Average","Poor")))</calculatedColumnFormula>
    </tableColumn>
    <tableColumn id="10" xr3:uid="{2161A320-1F4C-4D42-B344-B9B3E017D7B0}" uniqueName="10" name="Profit Category" queryTableFieldId="10" dataDxfId="1">
      <calculatedColumnFormula>IF(HollywoodsMostProfitableStories[[#This Row],[Profitability]]&gt;10,"High Profit",IF(HollywoodsMostProfitableStories[[#This Row],[Profitability]]&gt;=5,"Medium Profit","Low Profit"))</calculatedColumnFormula>
    </tableColumn>
    <tableColumn id="11" xr3:uid="{296C0321-0850-5049-A80C-6971F129591E}" uniqueName="11" name="Gross Categpry" queryTableFieldId="11" dataDxfId="0">
      <calculatedColumnFormula>IF(HollywoodsMostProfitableStories[[#This Row],[Worldwide Gross]]&gt;=100,"Blockbuster",IF(HollywoodsMostProfitableStories[[#This Row],[Worldwide Gross]]&gt;=50,"Hit","Average"))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FB31-8C33-9849-AAFB-976B27F495A4}">
  <dimension ref="A1:K71"/>
  <sheetViews>
    <sheetView tabSelected="1" workbookViewId="0">
      <selection activeCell="L5" sqref="L5"/>
    </sheetView>
  </sheetViews>
  <sheetFormatPr baseColWidth="10" defaultRowHeight="16" x14ac:dyDescent="0.2"/>
  <cols>
    <col min="1" max="1" width="31.33203125" bestFit="1" customWidth="1"/>
    <col min="2" max="2" width="9.33203125" bestFit="1" customWidth="1"/>
    <col min="3" max="3" width="20.6640625" bestFit="1" customWidth="1"/>
    <col min="4" max="4" width="18.5" bestFit="1" customWidth="1"/>
    <col min="5" max="5" width="13.33203125" bestFit="1" customWidth="1"/>
    <col min="6" max="6" width="19.6640625" bestFit="1" customWidth="1"/>
    <col min="7" max="7" width="17.6640625" bestFit="1" customWidth="1"/>
    <col min="8" max="8" width="7.33203125" bestFit="1" customWidth="1"/>
    <col min="9" max="9" width="19.33203125" bestFit="1" customWidth="1"/>
    <col min="10" max="10" width="16.1640625" bestFit="1" customWidth="1"/>
    <col min="11" max="11" width="16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98</v>
      </c>
      <c r="J1" t="s">
        <v>99</v>
      </c>
      <c r="K1" t="s">
        <v>100</v>
      </c>
    </row>
    <row r="2" spans="1:11" x14ac:dyDescent="0.2">
      <c r="A2" s="1" t="s">
        <v>8</v>
      </c>
      <c r="B2" s="1" t="s">
        <v>9</v>
      </c>
      <c r="C2" s="1" t="s">
        <v>10</v>
      </c>
      <c r="D2">
        <v>71</v>
      </c>
      <c r="E2">
        <v>5.3436218000000002</v>
      </c>
      <c r="F2">
        <v>40</v>
      </c>
      <c r="G2">
        <v>160.30865399999999</v>
      </c>
      <c r="H2">
        <v>2008</v>
      </c>
      <c r="I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2" t="str">
        <f>IF(HollywoodsMostProfitableStories[[#This Row],[Profitability]]&gt;10,"High Profit",IF(HollywoodsMostProfitableStories[[#This Row],[Profitability]]&gt;=5,"Medium Profit","Low Profit"))</f>
        <v>Medium Profit</v>
      </c>
      <c r="K2" t="str">
        <f>IF(HollywoodsMostProfitableStories[[#This Row],[Worldwide Gross]]&gt;=100,"Blockbuster",IF(HollywoodsMostProfitableStories[[#This Row],[Worldwide Gross]]&gt;=50,"Hit","Average"))</f>
        <v>Blockbuster</v>
      </c>
    </row>
    <row r="3" spans="1:11" x14ac:dyDescent="0.2">
      <c r="A3" s="1" t="s">
        <v>11</v>
      </c>
      <c r="B3" s="1" t="s">
        <v>9</v>
      </c>
      <c r="C3" s="1" t="s">
        <v>10</v>
      </c>
      <c r="D3">
        <v>81</v>
      </c>
      <c r="E3">
        <v>8.0960000000000001</v>
      </c>
      <c r="F3">
        <v>87</v>
      </c>
      <c r="G3">
        <v>60.72</v>
      </c>
      <c r="H3">
        <v>2009</v>
      </c>
      <c r="I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3" t="str">
        <f>IF(HollywoodsMostProfitableStories[[#This Row],[Profitability]]&gt;10,"High Profit",IF(HollywoodsMostProfitableStories[[#This Row],[Profitability]]&gt;=5,"Medium Profit","Low Profit"))</f>
        <v>Medium Profit</v>
      </c>
      <c r="K3" t="str">
        <f>IF(HollywoodsMostProfitableStories[[#This Row],[Worldwide Gross]]&gt;=100,"Blockbuster",IF(HollywoodsMostProfitableStories[[#This Row],[Worldwide Gross]]&gt;=50,"Hit","Average"))</f>
        <v>Hit</v>
      </c>
    </row>
    <row r="4" spans="1:11" x14ac:dyDescent="0.2">
      <c r="A4" s="1" t="s">
        <v>12</v>
      </c>
      <c r="B4" s="1" t="s">
        <v>13</v>
      </c>
      <c r="C4" s="1" t="s">
        <v>14</v>
      </c>
      <c r="D4">
        <v>89</v>
      </c>
      <c r="E4">
        <v>0.44864474999999998</v>
      </c>
      <c r="F4">
        <v>79</v>
      </c>
      <c r="G4">
        <v>8.9728949999999994</v>
      </c>
      <c r="H4">
        <v>2011</v>
      </c>
      <c r="I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4" t="str">
        <f>IF(HollywoodsMostProfitableStories[[#This Row],[Profitability]]&gt;10,"High Profit",IF(HollywoodsMostProfitableStories[[#This Row],[Profitability]]&gt;=5,"Medium Profit","Low Profit"))</f>
        <v>Low Profit</v>
      </c>
      <c r="K4" t="str">
        <f>IF(HollywoodsMostProfitableStories[[#This Row],[Worldwide Gross]]&gt;=100,"Blockbuster",IF(HollywoodsMostProfitableStories[[#This Row],[Worldwide Gross]]&gt;=50,"Hit","Average"))</f>
        <v>Average</v>
      </c>
    </row>
    <row r="5" spans="1:11" x14ac:dyDescent="0.2">
      <c r="A5" s="1" t="s">
        <v>15</v>
      </c>
      <c r="B5" s="1" t="s">
        <v>13</v>
      </c>
      <c r="C5" s="1" t="s">
        <v>16</v>
      </c>
      <c r="D5">
        <v>64</v>
      </c>
      <c r="E5">
        <v>4.3828571429999998</v>
      </c>
      <c r="F5">
        <v>89</v>
      </c>
      <c r="G5">
        <v>30.68</v>
      </c>
      <c r="H5">
        <v>2009</v>
      </c>
      <c r="I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" t="str">
        <f>IF(HollywoodsMostProfitableStories[[#This Row],[Profitability]]&gt;10,"High Profit",IF(HollywoodsMostProfitableStories[[#This Row],[Profitability]]&gt;=5,"Medium Profit","Low Profit"))</f>
        <v>Low Profit</v>
      </c>
      <c r="K5" t="str">
        <f>IF(HollywoodsMostProfitableStories[[#This Row],[Worldwide Gross]]&gt;=100,"Blockbuster",IF(HollywoodsMostProfitableStories[[#This Row],[Worldwide Gross]]&gt;=50,"Hit","Average"))</f>
        <v>Average</v>
      </c>
    </row>
    <row r="6" spans="1:11" x14ac:dyDescent="0.2">
      <c r="A6" s="1" t="s">
        <v>17</v>
      </c>
      <c r="B6" s="1" t="s">
        <v>18</v>
      </c>
      <c r="C6" s="1" t="s">
        <v>14</v>
      </c>
      <c r="D6">
        <v>84</v>
      </c>
      <c r="E6">
        <v>0.65260317800000001</v>
      </c>
      <c r="F6">
        <v>54</v>
      </c>
      <c r="G6">
        <v>29.367142999999999</v>
      </c>
      <c r="H6">
        <v>2007</v>
      </c>
      <c r="I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6" t="str">
        <f>IF(HollywoodsMostProfitableStories[[#This Row],[Profitability]]&gt;10,"High Profit",IF(HollywoodsMostProfitableStories[[#This Row],[Profitability]]&gt;=5,"Medium Profit","Low Profit"))</f>
        <v>Low Profit</v>
      </c>
      <c r="K6" t="str">
        <f>IF(HollywoodsMostProfitableStories[[#This Row],[Worldwide Gross]]&gt;=100,"Blockbuster",IF(HollywoodsMostProfitableStories[[#This Row],[Worldwide Gross]]&gt;=50,"Hit","Average"))</f>
        <v>Average</v>
      </c>
    </row>
    <row r="7" spans="1:11" x14ac:dyDescent="0.2">
      <c r="A7" s="1" t="s">
        <v>19</v>
      </c>
      <c r="B7" s="1" t="s">
        <v>9</v>
      </c>
      <c r="C7" s="1" t="s">
        <v>14</v>
      </c>
      <c r="D7">
        <v>80</v>
      </c>
      <c r="E7">
        <v>4.4718749999999998</v>
      </c>
      <c r="F7">
        <v>84</v>
      </c>
      <c r="G7">
        <v>14.31</v>
      </c>
      <c r="H7">
        <v>2011</v>
      </c>
      <c r="I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7" t="str">
        <f>IF(HollywoodsMostProfitableStories[[#This Row],[Profitability]]&gt;10,"High Profit",IF(HollywoodsMostProfitableStories[[#This Row],[Profitability]]&gt;=5,"Medium Profit","Low Profit"))</f>
        <v>Low Profit</v>
      </c>
      <c r="K7" t="str">
        <f>IF(HollywoodsMostProfitableStories[[#This Row],[Worldwide Gross]]&gt;=100,"Blockbuster",IF(HollywoodsMostProfitableStories[[#This Row],[Worldwide Gross]]&gt;=50,"Hit","Average"))</f>
        <v>Average</v>
      </c>
    </row>
    <row r="8" spans="1:11" x14ac:dyDescent="0.2">
      <c r="A8" s="1" t="s">
        <v>20</v>
      </c>
      <c r="B8" s="1" t="s">
        <v>13</v>
      </c>
      <c r="C8" s="1" t="s">
        <v>21</v>
      </c>
      <c r="D8">
        <v>66</v>
      </c>
      <c r="E8">
        <v>4.5987999999999998</v>
      </c>
      <c r="F8">
        <v>29</v>
      </c>
      <c r="G8">
        <v>114.97</v>
      </c>
      <c r="H8">
        <v>2010</v>
      </c>
      <c r="I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8" t="str">
        <f>IF(HollywoodsMostProfitableStories[[#This Row],[Profitability]]&gt;10,"High Profit",IF(HollywoodsMostProfitableStories[[#This Row],[Profitability]]&gt;=5,"Medium Profit","Low Profit"))</f>
        <v>Low Profit</v>
      </c>
      <c r="K8" t="str">
        <f>IF(HollywoodsMostProfitableStories[[#This Row],[Worldwide Gross]]&gt;=100,"Blockbuster",IF(HollywoodsMostProfitableStories[[#This Row],[Worldwide Gross]]&gt;=50,"Hit","Average"))</f>
        <v>Blockbuster</v>
      </c>
    </row>
    <row r="9" spans="1:11" x14ac:dyDescent="0.2">
      <c r="A9" s="1" t="s">
        <v>22</v>
      </c>
      <c r="B9" s="1" t="s">
        <v>9</v>
      </c>
      <c r="C9" s="1" t="s">
        <v>23</v>
      </c>
      <c r="D9">
        <v>80</v>
      </c>
      <c r="E9">
        <v>4.0057370819999996</v>
      </c>
      <c r="F9">
        <v>93</v>
      </c>
      <c r="G9">
        <v>340.48765200000003</v>
      </c>
      <c r="H9">
        <v>2007</v>
      </c>
      <c r="I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9" t="str">
        <f>IF(HollywoodsMostProfitableStories[[#This Row],[Profitability]]&gt;10,"High Profit",IF(HollywoodsMostProfitableStories[[#This Row],[Profitability]]&gt;=5,"Medium Profit","Low Profit"))</f>
        <v>Low Profit</v>
      </c>
      <c r="K9" t="str">
        <f>IF(HollywoodsMostProfitableStories[[#This Row],[Worldwide Gross]]&gt;=100,"Blockbuster",IF(HollywoodsMostProfitableStories[[#This Row],[Worldwide Gross]]&gt;=50,"Hit","Average"))</f>
        <v>Blockbuster</v>
      </c>
    </row>
    <row r="10" spans="1:11" x14ac:dyDescent="0.2">
      <c r="A10" s="1" t="s">
        <v>24</v>
      </c>
      <c r="B10" s="1" t="s">
        <v>13</v>
      </c>
      <c r="C10" s="1" t="s">
        <v>14</v>
      </c>
      <c r="D10">
        <v>51</v>
      </c>
      <c r="E10">
        <v>66.933999999999997</v>
      </c>
      <c r="F10">
        <v>40</v>
      </c>
      <c r="G10">
        <v>33.466999999999999</v>
      </c>
      <c r="H10">
        <v>2008</v>
      </c>
      <c r="I1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0" t="str">
        <f>IF(HollywoodsMostProfitableStories[[#This Row],[Profitability]]&gt;10,"High Profit",IF(HollywoodsMostProfitableStories[[#This Row],[Profitability]]&gt;=5,"Medium Profit","Low Profit"))</f>
        <v>High Profit</v>
      </c>
      <c r="K10" t="str">
        <f>IF(HollywoodsMostProfitableStories[[#This Row],[Worldwide Gross]]&gt;=100,"Blockbuster",IF(HollywoodsMostProfitableStories[[#This Row],[Worldwide Gross]]&gt;=50,"Hit","Average"))</f>
        <v>Average</v>
      </c>
    </row>
    <row r="11" spans="1:11" x14ac:dyDescent="0.2">
      <c r="A11" s="1" t="s">
        <v>25</v>
      </c>
      <c r="B11" s="1" t="s">
        <v>9</v>
      </c>
      <c r="C11" s="1" t="s">
        <v>26</v>
      </c>
      <c r="D11">
        <v>52</v>
      </c>
      <c r="E11">
        <v>2.0229249999999999</v>
      </c>
      <c r="F11">
        <v>26</v>
      </c>
      <c r="G11">
        <v>161.834</v>
      </c>
      <c r="H11">
        <v>2008</v>
      </c>
      <c r="I1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1" t="str">
        <f>IF(HollywoodsMostProfitableStories[[#This Row],[Profitability]]&gt;10,"High Profit",IF(HollywoodsMostProfitableStories[[#This Row],[Profitability]]&gt;=5,"Medium Profit","Low Profit"))</f>
        <v>Low Profit</v>
      </c>
      <c r="K11" t="str">
        <f>IF(HollywoodsMostProfitableStories[[#This Row],[Worldwide Gross]]&gt;=100,"Blockbuster",IF(HollywoodsMostProfitableStories[[#This Row],[Worldwide Gross]]&gt;=50,"Hit","Average"))</f>
        <v>Blockbuster</v>
      </c>
    </row>
    <row r="12" spans="1:11" x14ac:dyDescent="0.2">
      <c r="A12" s="1" t="s">
        <v>27</v>
      </c>
      <c r="B12" s="1" t="s">
        <v>9</v>
      </c>
      <c r="C12" s="1" t="s">
        <v>26</v>
      </c>
      <c r="D12">
        <v>47</v>
      </c>
      <c r="E12">
        <v>2.0444</v>
      </c>
      <c r="F12">
        <v>27</v>
      </c>
      <c r="G12">
        <v>102.22</v>
      </c>
      <c r="H12">
        <v>2009</v>
      </c>
      <c r="I1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2" t="str">
        <f>IF(HollywoodsMostProfitableStories[[#This Row],[Profitability]]&gt;10,"High Profit",IF(HollywoodsMostProfitableStories[[#This Row],[Profitability]]&gt;=5,"Medium Profit","Low Profit"))</f>
        <v>Low Profit</v>
      </c>
      <c r="K12" t="str">
        <f>IF(HollywoodsMostProfitableStories[[#This Row],[Worldwide Gross]]&gt;=100,"Blockbuster",IF(HollywoodsMostProfitableStories[[#This Row],[Worldwide Gross]]&gt;=50,"Hit","Average"))</f>
        <v>Blockbuster</v>
      </c>
    </row>
    <row r="13" spans="1:11" x14ac:dyDescent="0.2">
      <c r="A13" s="1" t="s">
        <v>28</v>
      </c>
      <c r="B13" s="1" t="s">
        <v>29</v>
      </c>
      <c r="C13" s="1" t="s">
        <v>23</v>
      </c>
      <c r="D13">
        <v>52</v>
      </c>
      <c r="E13">
        <v>5.3879722220000001</v>
      </c>
      <c r="F13">
        <v>56</v>
      </c>
      <c r="G13">
        <v>193.96700000000001</v>
      </c>
      <c r="H13">
        <v>2011</v>
      </c>
      <c r="I1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3" t="str">
        <f>IF(HollywoodsMostProfitableStories[[#This Row],[Profitability]]&gt;10,"High Profit",IF(HollywoodsMostProfitableStories[[#This Row],[Profitability]]&gt;=5,"Medium Profit","Low Profit"))</f>
        <v>Medium Profit</v>
      </c>
      <c r="K13" t="str">
        <f>IF(HollywoodsMostProfitableStories[[#This Row],[Worldwide Gross]]&gt;=100,"Blockbuster",IF(HollywoodsMostProfitableStories[[#This Row],[Worldwide Gross]]&gt;=50,"Hit","Average"))</f>
        <v>Blockbuster</v>
      </c>
    </row>
    <row r="14" spans="1:11" x14ac:dyDescent="0.2">
      <c r="A14" s="1" t="s">
        <v>30</v>
      </c>
      <c r="B14" s="1" t="s">
        <v>9</v>
      </c>
      <c r="C14" s="1" t="s">
        <v>26</v>
      </c>
      <c r="D14">
        <v>56</v>
      </c>
      <c r="E14">
        <v>1.3140624999999999</v>
      </c>
      <c r="F14">
        <v>53</v>
      </c>
      <c r="G14">
        <v>42.05</v>
      </c>
      <c r="H14">
        <v>2010</v>
      </c>
      <c r="I1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4" t="str">
        <f>IF(HollywoodsMostProfitableStories[[#This Row],[Profitability]]&gt;10,"High Profit",IF(HollywoodsMostProfitableStories[[#This Row],[Profitability]]&gt;=5,"Medium Profit","Low Profit"))</f>
        <v>Low Profit</v>
      </c>
      <c r="K14" t="str">
        <f>IF(HollywoodsMostProfitableStories[[#This Row],[Worldwide Gross]]&gt;=100,"Blockbuster",IF(HollywoodsMostProfitableStories[[#This Row],[Worldwide Gross]]&gt;=50,"Hit","Average"))</f>
        <v>Average</v>
      </c>
    </row>
    <row r="15" spans="1:11" x14ac:dyDescent="0.2">
      <c r="A15" s="1" t="s">
        <v>31</v>
      </c>
      <c r="B15" s="1" t="s">
        <v>9</v>
      </c>
      <c r="C15" s="1" t="s">
        <v>32</v>
      </c>
      <c r="D15">
        <v>61</v>
      </c>
      <c r="E15">
        <v>2.36768512</v>
      </c>
      <c r="F15">
        <v>3</v>
      </c>
      <c r="G15">
        <v>59.192127999999997</v>
      </c>
      <c r="H15">
        <v>2007</v>
      </c>
      <c r="I1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15" t="str">
        <f>IF(HollywoodsMostProfitableStories[[#This Row],[Profitability]]&gt;10,"High Profit",IF(HollywoodsMostProfitableStories[[#This Row],[Profitability]]&gt;=5,"Medium Profit","Low Profit"))</f>
        <v>Low Profit</v>
      </c>
      <c r="K15" t="str">
        <f>IF(HollywoodsMostProfitableStories[[#This Row],[Worldwide Gross]]&gt;=100,"Blockbuster",IF(HollywoodsMostProfitableStories[[#This Row],[Worldwide Gross]]&gt;=50,"Hit","Average"))</f>
        <v>Hit</v>
      </c>
    </row>
    <row r="16" spans="1:11" x14ac:dyDescent="0.2">
      <c r="A16" s="1" t="s">
        <v>33</v>
      </c>
      <c r="B16" s="1" t="s">
        <v>9</v>
      </c>
      <c r="C16" s="1" t="s">
        <v>26</v>
      </c>
      <c r="D16">
        <v>60</v>
      </c>
      <c r="E16">
        <v>7.1536</v>
      </c>
      <c r="F16">
        <v>42</v>
      </c>
      <c r="G16">
        <v>178.84</v>
      </c>
      <c r="H16">
        <v>2009</v>
      </c>
      <c r="I1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16" t="str">
        <f>IF(HollywoodsMostProfitableStories[[#This Row],[Profitability]]&gt;10,"High Profit",IF(HollywoodsMostProfitableStories[[#This Row],[Profitability]]&gt;=5,"Medium Profit","Low Profit"))</f>
        <v>Medium Profit</v>
      </c>
      <c r="K16" t="str">
        <f>IF(HollywoodsMostProfitableStories[[#This Row],[Worldwide Gross]]&gt;=100,"Blockbuster",IF(HollywoodsMostProfitableStories[[#This Row],[Worldwide Gross]]&gt;=50,"Hit","Average"))</f>
        <v>Blockbuster</v>
      </c>
    </row>
    <row r="17" spans="1:11" x14ac:dyDescent="0.2">
      <c r="A17" s="1" t="s">
        <v>34</v>
      </c>
      <c r="B17" s="1" t="s">
        <v>9</v>
      </c>
      <c r="C17" s="1" t="s">
        <v>23</v>
      </c>
      <c r="D17">
        <v>76</v>
      </c>
      <c r="E17">
        <v>22.91313646</v>
      </c>
      <c r="F17">
        <v>65</v>
      </c>
      <c r="G17">
        <v>252.044501</v>
      </c>
      <c r="H17">
        <v>2008</v>
      </c>
      <c r="I1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17" t="str">
        <f>IF(HollywoodsMostProfitableStories[[#This Row],[Profitability]]&gt;10,"High Profit",IF(HollywoodsMostProfitableStories[[#This Row],[Profitability]]&gt;=5,"Medium Profit","Low Profit"))</f>
        <v>High Profit</v>
      </c>
      <c r="K17" t="str">
        <f>IF(HollywoodsMostProfitableStories[[#This Row],[Worldwide Gross]]&gt;=100,"Blockbuster",IF(HollywoodsMostProfitableStories[[#This Row],[Worldwide Gross]]&gt;=50,"Hit","Average"))</f>
        <v>Blockbuster</v>
      </c>
    </row>
    <row r="18" spans="1:11" x14ac:dyDescent="0.2">
      <c r="A18" s="1" t="s">
        <v>35</v>
      </c>
      <c r="B18" s="1" t="s">
        <v>9</v>
      </c>
      <c r="C18" s="1" t="s">
        <v>14</v>
      </c>
      <c r="D18">
        <v>57</v>
      </c>
      <c r="E18">
        <v>1.34</v>
      </c>
      <c r="F18">
        <v>71</v>
      </c>
      <c r="G18">
        <v>20.100000000000001</v>
      </c>
      <c r="H18">
        <v>2010</v>
      </c>
      <c r="I1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18" t="str">
        <f>IF(HollywoodsMostProfitableStories[[#This Row],[Profitability]]&gt;10,"High Profit",IF(HollywoodsMostProfitableStories[[#This Row],[Profitability]]&gt;=5,"Medium Profit","Low Profit"))</f>
        <v>Low Profit</v>
      </c>
      <c r="K18" t="str">
        <f>IF(HollywoodsMostProfitableStories[[#This Row],[Worldwide Gross]]&gt;=100,"Blockbuster",IF(HollywoodsMostProfitableStories[[#This Row],[Worldwide Gross]]&gt;=50,"Hit","Average"))</f>
        <v>Average</v>
      </c>
    </row>
    <row r="19" spans="1:11" x14ac:dyDescent="0.2">
      <c r="A19" s="1" t="s">
        <v>36</v>
      </c>
      <c r="B19" s="1" t="s">
        <v>9</v>
      </c>
      <c r="C19" s="1" t="s">
        <v>16</v>
      </c>
      <c r="D19">
        <v>63</v>
      </c>
      <c r="E19">
        <v>2.642352941</v>
      </c>
      <c r="F19">
        <v>56</v>
      </c>
      <c r="G19">
        <v>224.6</v>
      </c>
      <c r="H19">
        <v>2009</v>
      </c>
      <c r="I1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19" t="str">
        <f>IF(HollywoodsMostProfitableStories[[#This Row],[Profitability]]&gt;10,"High Profit",IF(HollywoodsMostProfitableStories[[#This Row],[Profitability]]&gt;=5,"Medium Profit","Low Profit"))</f>
        <v>Low Profit</v>
      </c>
      <c r="K19" t="str">
        <f>IF(HollywoodsMostProfitableStories[[#This Row],[Worldwide Gross]]&gt;=100,"Blockbuster",IF(HollywoodsMostProfitableStories[[#This Row],[Worldwide Gross]]&gt;=50,"Hit","Average"))</f>
        <v>Blockbuster</v>
      </c>
    </row>
    <row r="20" spans="1:11" x14ac:dyDescent="0.2">
      <c r="A20" s="1" t="s">
        <v>37</v>
      </c>
      <c r="B20" s="1" t="s">
        <v>9</v>
      </c>
      <c r="C20" s="1" t="s">
        <v>10</v>
      </c>
      <c r="D20">
        <v>58</v>
      </c>
      <c r="E20">
        <v>1.797416667</v>
      </c>
      <c r="F20">
        <v>45</v>
      </c>
      <c r="G20">
        <v>21.568999999999999</v>
      </c>
      <c r="H20">
        <v>2010</v>
      </c>
      <c r="I2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0" t="str">
        <f>IF(HollywoodsMostProfitableStories[[#This Row],[Profitability]]&gt;10,"High Profit",IF(HollywoodsMostProfitableStories[[#This Row],[Profitability]]&gt;=5,"Medium Profit","Low Profit"))</f>
        <v>Low Profit</v>
      </c>
      <c r="K20" t="str">
        <f>IF(HollywoodsMostProfitableStories[[#This Row],[Worldwide Gross]]&gt;=100,"Blockbuster",IF(HollywoodsMostProfitableStories[[#This Row],[Worldwide Gross]]&gt;=50,"Hit","Average"))</f>
        <v>Average</v>
      </c>
    </row>
    <row r="21" spans="1:11" x14ac:dyDescent="0.2">
      <c r="A21" s="1" t="s">
        <v>38</v>
      </c>
      <c r="B21" s="1" t="s">
        <v>39</v>
      </c>
      <c r="C21" s="1" t="s">
        <v>32</v>
      </c>
      <c r="D21">
        <v>45</v>
      </c>
      <c r="E21">
        <v>1.245333333</v>
      </c>
      <c r="F21">
        <v>11</v>
      </c>
      <c r="G21">
        <v>93.4</v>
      </c>
      <c r="H21">
        <v>2010</v>
      </c>
      <c r="I2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1" t="str">
        <f>IF(HollywoodsMostProfitableStories[[#This Row],[Profitability]]&gt;10,"High Profit",IF(HollywoodsMostProfitableStories[[#This Row],[Profitability]]&gt;=5,"Medium Profit","Low Profit"))</f>
        <v>Low Profit</v>
      </c>
      <c r="K21" t="str">
        <f>IF(HollywoodsMostProfitableStories[[#This Row],[Worldwide Gross]]&gt;=100,"Blockbuster",IF(HollywoodsMostProfitableStories[[#This Row],[Worldwide Gross]]&gt;=50,"Hit","Average"))</f>
        <v>Hit</v>
      </c>
    </row>
    <row r="22" spans="1:11" x14ac:dyDescent="0.2">
      <c r="A22" s="1" t="s">
        <v>40</v>
      </c>
      <c r="B22" s="1" t="s">
        <v>9</v>
      </c>
      <c r="C22" s="1" t="s">
        <v>16</v>
      </c>
      <c r="D22">
        <v>83</v>
      </c>
      <c r="E22">
        <v>6.6364018480000002</v>
      </c>
      <c r="F22">
        <v>91</v>
      </c>
      <c r="G22">
        <v>219.001261</v>
      </c>
      <c r="H22">
        <v>2007</v>
      </c>
      <c r="I2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22" t="str">
        <f>IF(HollywoodsMostProfitableStories[[#This Row],[Profitability]]&gt;10,"High Profit",IF(HollywoodsMostProfitableStories[[#This Row],[Profitability]]&gt;=5,"Medium Profit","Low Profit"))</f>
        <v>Medium Profit</v>
      </c>
      <c r="K22" t="str">
        <f>IF(HollywoodsMostProfitableStories[[#This Row],[Worldwide Gross]]&gt;=100,"Blockbuster",IF(HollywoodsMostProfitableStories[[#This Row],[Worldwide Gross]]&gt;=50,"Hit","Average"))</f>
        <v>Blockbuster</v>
      </c>
    </row>
    <row r="23" spans="1:11" x14ac:dyDescent="0.2">
      <c r="A23" s="1" t="s">
        <v>41</v>
      </c>
      <c r="B23" s="1" t="s">
        <v>9</v>
      </c>
      <c r="C23" s="1" t="s">
        <v>16</v>
      </c>
      <c r="D23">
        <v>49</v>
      </c>
      <c r="E23">
        <v>1.715263158</v>
      </c>
      <c r="F23">
        <v>21</v>
      </c>
      <c r="G23">
        <v>32.590000000000003</v>
      </c>
      <c r="H23">
        <v>2010</v>
      </c>
      <c r="I2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3" t="str">
        <f>IF(HollywoodsMostProfitableStories[[#This Row],[Profitability]]&gt;10,"High Profit",IF(HollywoodsMostProfitableStories[[#This Row],[Profitability]]&gt;=5,"Medium Profit","Low Profit"))</f>
        <v>Low Profit</v>
      </c>
      <c r="K23" t="str">
        <f>IF(HollywoodsMostProfitableStories[[#This Row],[Worldwide Gross]]&gt;=100,"Blockbuster",IF(HollywoodsMostProfitableStories[[#This Row],[Worldwide Gross]]&gt;=50,"Hit","Average"))</f>
        <v>Average</v>
      </c>
    </row>
    <row r="24" spans="1:11" x14ac:dyDescent="0.2">
      <c r="A24" s="1" t="s">
        <v>42</v>
      </c>
      <c r="B24" s="1" t="s">
        <v>9</v>
      </c>
      <c r="C24" s="1" t="s">
        <v>43</v>
      </c>
      <c r="D24">
        <v>62</v>
      </c>
      <c r="E24">
        <v>2.6393333330000002</v>
      </c>
      <c r="F24">
        <v>40</v>
      </c>
      <c r="G24">
        <v>79.180000000000007</v>
      </c>
      <c r="H24">
        <v>2010</v>
      </c>
      <c r="I2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24" t="str">
        <f>IF(HollywoodsMostProfitableStories[[#This Row],[Profitability]]&gt;10,"High Profit",IF(HollywoodsMostProfitableStories[[#This Row],[Profitability]]&gt;=5,"Medium Profit","Low Profit"))</f>
        <v>Low Profit</v>
      </c>
      <c r="K24" t="str">
        <f>IF(HollywoodsMostProfitableStories[[#This Row],[Worldwide Gross]]&gt;=100,"Blockbuster",IF(HollywoodsMostProfitableStories[[#This Row],[Worldwide Gross]]&gt;=50,"Hit","Average"))</f>
        <v>Hit</v>
      </c>
    </row>
    <row r="25" spans="1:11" x14ac:dyDescent="0.2">
      <c r="A25" s="1" t="s">
        <v>44</v>
      </c>
      <c r="B25" s="1" t="s">
        <v>9</v>
      </c>
      <c r="C25" s="1" t="s">
        <v>26</v>
      </c>
      <c r="D25">
        <v>55</v>
      </c>
      <c r="E25">
        <v>1.9802063999999999</v>
      </c>
      <c r="F25">
        <v>8</v>
      </c>
      <c r="G25">
        <v>69.307224000000005</v>
      </c>
      <c r="H25">
        <v>2007</v>
      </c>
      <c r="I2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5" t="str">
        <f>IF(HollywoodsMostProfitableStories[[#This Row],[Profitability]]&gt;10,"High Profit",IF(HollywoodsMostProfitableStories[[#This Row],[Profitability]]&gt;=5,"Medium Profit","Low Profit"))</f>
        <v>Low Profit</v>
      </c>
      <c r="K25" t="str">
        <f>IF(HollywoodsMostProfitableStories[[#This Row],[Worldwide Gross]]&gt;=100,"Blockbuster",IF(HollywoodsMostProfitableStories[[#This Row],[Worldwide Gross]]&gt;=50,"Hit","Average"))</f>
        <v>Hit</v>
      </c>
    </row>
    <row r="26" spans="1:11" x14ac:dyDescent="0.2">
      <c r="A26" s="1" t="s">
        <v>45</v>
      </c>
      <c r="B26" s="1" t="s">
        <v>9</v>
      </c>
      <c r="C26" s="1" t="s">
        <v>14</v>
      </c>
      <c r="D26">
        <v>62</v>
      </c>
      <c r="E26">
        <v>2.530526316</v>
      </c>
      <c r="F26">
        <v>28</v>
      </c>
      <c r="G26">
        <v>96.16</v>
      </c>
      <c r="H26">
        <v>2010</v>
      </c>
      <c r="I2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26" t="str">
        <f>IF(HollywoodsMostProfitableStories[[#This Row],[Profitability]]&gt;10,"High Profit",IF(HollywoodsMostProfitableStories[[#This Row],[Profitability]]&gt;=5,"Medium Profit","Low Profit"))</f>
        <v>Low Profit</v>
      </c>
      <c r="K26" t="str">
        <f>IF(HollywoodsMostProfitableStories[[#This Row],[Worldwide Gross]]&gt;=100,"Blockbuster",IF(HollywoodsMostProfitableStories[[#This Row],[Worldwide Gross]]&gt;=50,"Hit","Average"))</f>
        <v>Hit</v>
      </c>
    </row>
    <row r="27" spans="1:11" x14ac:dyDescent="0.2">
      <c r="A27" s="1" t="s">
        <v>46</v>
      </c>
      <c r="B27" s="1" t="s">
        <v>9</v>
      </c>
      <c r="C27" s="1" t="s">
        <v>10</v>
      </c>
      <c r="D27">
        <v>55</v>
      </c>
      <c r="E27">
        <v>1.8176666669999999</v>
      </c>
      <c r="F27">
        <v>48</v>
      </c>
      <c r="G27">
        <v>54.53</v>
      </c>
      <c r="H27">
        <v>2010</v>
      </c>
      <c r="I2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7" t="str">
        <f>IF(HollywoodsMostProfitableStories[[#This Row],[Profitability]]&gt;10,"High Profit",IF(HollywoodsMostProfitableStories[[#This Row],[Profitability]]&gt;=5,"Medium Profit","Low Profit"))</f>
        <v>Low Profit</v>
      </c>
      <c r="K27" t="str">
        <f>IF(HollywoodsMostProfitableStories[[#This Row],[Worldwide Gross]]&gt;=100,"Blockbuster",IF(HollywoodsMostProfitableStories[[#This Row],[Worldwide Gross]]&gt;=50,"Hit","Average"))</f>
        <v>Hit</v>
      </c>
    </row>
    <row r="28" spans="1:11" x14ac:dyDescent="0.2">
      <c r="A28" s="1" t="s">
        <v>47</v>
      </c>
      <c r="B28" s="1" t="s">
        <v>13</v>
      </c>
      <c r="C28" s="1" t="s">
        <v>16</v>
      </c>
      <c r="D28">
        <v>40</v>
      </c>
      <c r="E28">
        <v>2.0044444440000002</v>
      </c>
      <c r="F28">
        <v>18</v>
      </c>
      <c r="G28">
        <v>36.08</v>
      </c>
      <c r="H28">
        <v>2009</v>
      </c>
      <c r="I2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28" t="str">
        <f>IF(HollywoodsMostProfitableStories[[#This Row],[Profitability]]&gt;10,"High Profit",IF(HollywoodsMostProfitableStories[[#This Row],[Profitability]]&gt;=5,"Medium Profit","Low Profit"))</f>
        <v>Low Profit</v>
      </c>
      <c r="K28" t="str">
        <f>IF(HollywoodsMostProfitableStories[[#This Row],[Worldwide Gross]]&gt;=100,"Blockbuster",IF(HollywoodsMostProfitableStories[[#This Row],[Worldwide Gross]]&gt;=50,"Hit","Average"))</f>
        <v>Average</v>
      </c>
    </row>
    <row r="29" spans="1:11" x14ac:dyDescent="0.2">
      <c r="A29" s="1" t="s">
        <v>48</v>
      </c>
      <c r="B29" s="1" t="s">
        <v>9</v>
      </c>
      <c r="C29" s="1" t="s">
        <v>21</v>
      </c>
      <c r="D29">
        <v>61</v>
      </c>
      <c r="E29">
        <v>2.6490683499999998</v>
      </c>
      <c r="F29">
        <v>13</v>
      </c>
      <c r="G29">
        <v>105.962734</v>
      </c>
      <c r="H29">
        <v>2008</v>
      </c>
      <c r="I2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29" t="str">
        <f>IF(HollywoodsMostProfitableStories[[#This Row],[Profitability]]&gt;10,"High Profit",IF(HollywoodsMostProfitableStories[[#This Row],[Profitability]]&gt;=5,"Medium Profit","Low Profit"))</f>
        <v>Low Profit</v>
      </c>
      <c r="K29" t="str">
        <f>IF(HollywoodsMostProfitableStories[[#This Row],[Worldwide Gross]]&gt;=100,"Blockbuster",IF(HollywoodsMostProfitableStories[[#This Row],[Worldwide Gross]]&gt;=50,"Hit","Average"))</f>
        <v>Blockbuster</v>
      </c>
    </row>
    <row r="30" spans="1:11" x14ac:dyDescent="0.2">
      <c r="A30" s="1" t="s">
        <v>49</v>
      </c>
      <c r="B30" s="1" t="s">
        <v>9</v>
      </c>
      <c r="C30" s="1" t="s">
        <v>16</v>
      </c>
      <c r="D30">
        <v>76</v>
      </c>
      <c r="E30">
        <v>9.2344538640000007</v>
      </c>
      <c r="F30">
        <v>53</v>
      </c>
      <c r="G30">
        <v>609.47395500000005</v>
      </c>
      <c r="H30">
        <v>2008</v>
      </c>
      <c r="I3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0" t="str">
        <f>IF(HollywoodsMostProfitableStories[[#This Row],[Profitability]]&gt;10,"High Profit",IF(HollywoodsMostProfitableStories[[#This Row],[Profitability]]&gt;=5,"Medium Profit","Low Profit"))</f>
        <v>Medium Profit</v>
      </c>
      <c r="K30" t="str">
        <f>IF(HollywoodsMostProfitableStories[[#This Row],[Worldwide Gross]]&gt;=100,"Blockbuster",IF(HollywoodsMostProfitableStories[[#This Row],[Worldwide Gross]]&gt;=50,"Hit","Average"))</f>
        <v>Blockbuster</v>
      </c>
    </row>
    <row r="31" spans="1:11" x14ac:dyDescent="0.2">
      <c r="A31" s="1" t="s">
        <v>50</v>
      </c>
      <c r="B31" s="1" t="s">
        <v>9</v>
      </c>
      <c r="C31" s="1" t="s">
        <v>10</v>
      </c>
      <c r="D31">
        <v>77</v>
      </c>
      <c r="E31">
        <v>3.7467818180000001</v>
      </c>
      <c r="F31">
        <v>63</v>
      </c>
      <c r="G31">
        <v>206.07300000000001</v>
      </c>
      <c r="H31">
        <v>2008</v>
      </c>
      <c r="I3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1" t="str">
        <f>IF(HollywoodsMostProfitableStories[[#This Row],[Profitability]]&gt;10,"High Profit",IF(HollywoodsMostProfitableStories[[#This Row],[Profitability]]&gt;=5,"Medium Profit","Low Profit"))</f>
        <v>Low Profit</v>
      </c>
      <c r="K31" t="str">
        <f>IF(HollywoodsMostProfitableStories[[#This Row],[Worldwide Gross]]&gt;=100,"Blockbuster",IF(HollywoodsMostProfitableStories[[#This Row],[Worldwide Gross]]&gt;=50,"Hit","Average"))</f>
        <v>Blockbuster</v>
      </c>
    </row>
    <row r="32" spans="1:11" x14ac:dyDescent="0.2">
      <c r="A32" s="1" t="s">
        <v>51</v>
      </c>
      <c r="B32" s="1" t="s">
        <v>18</v>
      </c>
      <c r="C32" s="1" t="s">
        <v>21</v>
      </c>
      <c r="D32">
        <v>84</v>
      </c>
      <c r="E32">
        <v>8.7447058819999999</v>
      </c>
      <c r="F32">
        <v>93</v>
      </c>
      <c r="G32">
        <v>148.66</v>
      </c>
      <c r="H32">
        <v>2011</v>
      </c>
      <c r="I3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32" t="str">
        <f>IF(HollywoodsMostProfitableStories[[#This Row],[Profitability]]&gt;10,"High Profit",IF(HollywoodsMostProfitableStories[[#This Row],[Profitability]]&gt;=5,"Medium Profit","Low Profit"))</f>
        <v>Medium Profit</v>
      </c>
      <c r="K32" t="str">
        <f>IF(HollywoodsMostProfitableStories[[#This Row],[Worldwide Gross]]&gt;=100,"Blockbuster",IF(HollywoodsMostProfitableStories[[#This Row],[Worldwide Gross]]&gt;=50,"Hit","Average"))</f>
        <v>Blockbuster</v>
      </c>
    </row>
    <row r="33" spans="1:11" x14ac:dyDescent="0.2">
      <c r="A33" s="1" t="s">
        <v>52</v>
      </c>
      <c r="B33" s="1" t="s">
        <v>9</v>
      </c>
      <c r="C33" s="1" t="s">
        <v>14</v>
      </c>
      <c r="D33">
        <v>70</v>
      </c>
      <c r="E33">
        <v>0.25289489999999998</v>
      </c>
      <c r="F33">
        <v>78</v>
      </c>
      <c r="G33">
        <v>15.173693999999999</v>
      </c>
      <c r="H33">
        <v>2008</v>
      </c>
      <c r="I3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3" t="str">
        <f>IF(HollywoodsMostProfitableStories[[#This Row],[Profitability]]&gt;10,"High Profit",IF(HollywoodsMostProfitableStories[[#This Row],[Profitability]]&gt;=5,"Medium Profit","Low Profit"))</f>
        <v>Low Profit</v>
      </c>
      <c r="K33" t="str">
        <f>IF(HollywoodsMostProfitableStories[[#This Row],[Worldwide Gross]]&gt;=100,"Blockbuster",IF(HollywoodsMostProfitableStories[[#This Row],[Worldwide Gross]]&gt;=50,"Hit","Average"))</f>
        <v>Average</v>
      </c>
    </row>
    <row r="34" spans="1:11" x14ac:dyDescent="0.2">
      <c r="A34" s="1" t="s">
        <v>53</v>
      </c>
      <c r="B34" s="1" t="s">
        <v>18</v>
      </c>
      <c r="C34" s="1" t="s">
        <v>54</v>
      </c>
      <c r="D34">
        <v>50</v>
      </c>
      <c r="E34">
        <v>1.9832000000000001</v>
      </c>
      <c r="F34">
        <v>38</v>
      </c>
      <c r="G34">
        <v>39.664000000000001</v>
      </c>
      <c r="H34">
        <v>2011</v>
      </c>
      <c r="I3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34" t="str">
        <f>IF(HollywoodsMostProfitableStories[[#This Row],[Profitability]]&gt;10,"High Profit",IF(HollywoodsMostProfitableStories[[#This Row],[Profitability]]&gt;=5,"Medium Profit","Low Profit"))</f>
        <v>Low Profit</v>
      </c>
      <c r="K34" t="str">
        <f>IF(HollywoodsMostProfitableStories[[#This Row],[Worldwide Gross]]&gt;=100,"Blockbuster",IF(HollywoodsMostProfitableStories[[#This Row],[Worldwide Gross]]&gt;=50,"Hit","Average"))</f>
        <v>Average</v>
      </c>
    </row>
    <row r="35" spans="1:11" x14ac:dyDescent="0.2">
      <c r="A35" s="1" t="s">
        <v>55</v>
      </c>
      <c r="B35" s="1" t="s">
        <v>18</v>
      </c>
      <c r="C35" s="1" t="s">
        <v>26</v>
      </c>
      <c r="D35">
        <v>70</v>
      </c>
      <c r="E35">
        <v>3.64741055</v>
      </c>
      <c r="F35">
        <v>63</v>
      </c>
      <c r="G35">
        <v>145.896422</v>
      </c>
      <c r="H35">
        <v>2007</v>
      </c>
      <c r="I3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5" t="str">
        <f>IF(HollywoodsMostProfitableStories[[#This Row],[Profitability]]&gt;10,"High Profit",IF(HollywoodsMostProfitableStories[[#This Row],[Profitability]]&gt;=5,"Medium Profit","Low Profit"))</f>
        <v>Low Profit</v>
      </c>
      <c r="K35" t="str">
        <f>IF(HollywoodsMostProfitableStories[[#This Row],[Worldwide Gross]]&gt;=100,"Blockbuster",IF(HollywoodsMostProfitableStories[[#This Row],[Worldwide Gross]]&gt;=50,"Hit","Average"))</f>
        <v>Blockbuster</v>
      </c>
    </row>
    <row r="36" spans="1:11" x14ac:dyDescent="0.2">
      <c r="A36" s="1" t="s">
        <v>56</v>
      </c>
      <c r="B36" s="1" t="s">
        <v>13</v>
      </c>
      <c r="C36" s="1" t="s">
        <v>57</v>
      </c>
      <c r="D36">
        <v>84</v>
      </c>
      <c r="E36">
        <v>0.82579999999999998</v>
      </c>
      <c r="F36">
        <v>83</v>
      </c>
      <c r="G36">
        <v>8.2579999999999991</v>
      </c>
      <c r="H36">
        <v>2011</v>
      </c>
      <c r="I3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36" t="str">
        <f>IF(HollywoodsMostProfitableStories[[#This Row],[Profitability]]&gt;10,"High Profit",IF(HollywoodsMostProfitableStories[[#This Row],[Profitability]]&gt;=5,"Medium Profit","Low Profit"))</f>
        <v>Low Profit</v>
      </c>
      <c r="K36" t="str">
        <f>IF(HollywoodsMostProfitableStories[[#This Row],[Worldwide Gross]]&gt;=100,"Blockbuster",IF(HollywoodsMostProfitableStories[[#This Row],[Worldwide Gross]]&gt;=50,"Hit","Average"))</f>
        <v>Average</v>
      </c>
    </row>
    <row r="37" spans="1:11" x14ac:dyDescent="0.2">
      <c r="A37" s="1" t="s">
        <v>58</v>
      </c>
      <c r="B37" s="1" t="s">
        <v>18</v>
      </c>
      <c r="C37" s="1" t="s">
        <v>26</v>
      </c>
      <c r="D37">
        <v>48</v>
      </c>
      <c r="E37">
        <v>2.5364285710000001</v>
      </c>
      <c r="F37">
        <v>8</v>
      </c>
      <c r="G37">
        <v>142.04</v>
      </c>
      <c r="H37">
        <v>2011</v>
      </c>
      <c r="I3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37" t="str">
        <f>IF(HollywoodsMostProfitableStories[[#This Row],[Profitability]]&gt;10,"High Profit",IF(HollywoodsMostProfitableStories[[#This Row],[Profitability]]&gt;=5,"Medium Profit","Low Profit"))</f>
        <v>Low Profit</v>
      </c>
      <c r="K37" t="str">
        <f>IF(HollywoodsMostProfitableStories[[#This Row],[Worldwide Gross]]&gt;=100,"Blockbuster",IF(HollywoodsMostProfitableStories[[#This Row],[Worldwide Gross]]&gt;=50,"Hit","Average"))</f>
        <v>Blockbuster</v>
      </c>
    </row>
    <row r="38" spans="1:11" x14ac:dyDescent="0.2">
      <c r="A38" s="1" t="s">
        <v>59</v>
      </c>
      <c r="B38" s="1" t="s">
        <v>9</v>
      </c>
      <c r="C38" s="1" t="s">
        <v>21</v>
      </c>
      <c r="D38">
        <v>67</v>
      </c>
      <c r="E38">
        <v>3.3527293</v>
      </c>
      <c r="F38">
        <v>73</v>
      </c>
      <c r="G38">
        <v>33.527293</v>
      </c>
      <c r="H38">
        <v>2008</v>
      </c>
      <c r="I3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8" t="str">
        <f>IF(HollywoodsMostProfitableStories[[#This Row],[Profitability]]&gt;10,"High Profit",IF(HollywoodsMostProfitableStories[[#This Row],[Profitability]]&gt;=5,"Medium Profit","Low Profit"))</f>
        <v>Low Profit</v>
      </c>
      <c r="K38" t="str">
        <f>IF(HollywoodsMostProfitableStories[[#This Row],[Worldwide Gross]]&gt;=100,"Blockbuster",IF(HollywoodsMostProfitableStories[[#This Row],[Worldwide Gross]]&gt;=50,"Hit","Average"))</f>
        <v>Average</v>
      </c>
    </row>
    <row r="39" spans="1:11" x14ac:dyDescent="0.2">
      <c r="A39" s="1" t="s">
        <v>60</v>
      </c>
      <c r="B39" s="1" t="s">
        <v>9</v>
      </c>
      <c r="C39" s="1" t="s">
        <v>97</v>
      </c>
      <c r="D39">
        <v>64</v>
      </c>
      <c r="E39">
        <v>3.307180357</v>
      </c>
      <c r="F39">
        <v>39</v>
      </c>
      <c r="G39">
        <v>92.601050000000001</v>
      </c>
      <c r="H39">
        <v>2007</v>
      </c>
      <c r="I3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39" t="str">
        <f>IF(HollywoodsMostProfitableStories[[#This Row],[Profitability]]&gt;10,"High Profit",IF(HollywoodsMostProfitableStories[[#This Row],[Profitability]]&gt;=5,"Medium Profit","Low Profit"))</f>
        <v>Low Profit</v>
      </c>
      <c r="K39" t="str">
        <f>IF(HollywoodsMostProfitableStories[[#This Row],[Worldwide Gross]]&gt;=100,"Blockbuster",IF(HollywoodsMostProfitableStories[[#This Row],[Worldwide Gross]]&gt;=50,"Hit","Average"))</f>
        <v>Hit</v>
      </c>
    </row>
    <row r="40" spans="1:11" x14ac:dyDescent="0.2">
      <c r="A40" s="1" t="s">
        <v>61</v>
      </c>
      <c r="B40" s="1" t="s">
        <v>13</v>
      </c>
      <c r="C40" s="1" t="s">
        <v>14</v>
      </c>
      <c r="D40">
        <v>66</v>
      </c>
      <c r="E40">
        <v>2.14</v>
      </c>
      <c r="F40">
        <v>34</v>
      </c>
      <c r="G40">
        <v>10.7</v>
      </c>
      <c r="H40">
        <v>2009</v>
      </c>
      <c r="I4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40" t="str">
        <f>IF(HollywoodsMostProfitableStories[[#This Row],[Profitability]]&gt;10,"High Profit",IF(HollywoodsMostProfitableStories[[#This Row],[Profitability]]&gt;=5,"Medium Profit","Low Profit"))</f>
        <v>Low Profit</v>
      </c>
      <c r="K40" t="str">
        <f>IF(HollywoodsMostProfitableStories[[#This Row],[Worldwide Gross]]&gt;=100,"Blockbuster",IF(HollywoodsMostProfitableStories[[#This Row],[Worldwide Gross]]&gt;=50,"Hit","Average"))</f>
        <v>Average</v>
      </c>
    </row>
    <row r="41" spans="1:11" x14ac:dyDescent="0.2">
      <c r="A41" s="1" t="s">
        <v>62</v>
      </c>
      <c r="B41" s="1" t="s">
        <v>18</v>
      </c>
      <c r="C41" s="1" t="s">
        <v>14</v>
      </c>
      <c r="D41">
        <v>54</v>
      </c>
      <c r="E41">
        <v>3.6827333329999998</v>
      </c>
      <c r="F41">
        <v>37</v>
      </c>
      <c r="G41">
        <v>55.241</v>
      </c>
      <c r="H41">
        <v>2011</v>
      </c>
      <c r="I4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41" t="str">
        <f>IF(HollywoodsMostProfitableStories[[#This Row],[Profitability]]&gt;10,"High Profit",IF(HollywoodsMostProfitableStories[[#This Row],[Profitability]]&gt;=5,"Medium Profit","Low Profit"))</f>
        <v>Low Profit</v>
      </c>
      <c r="K41" t="str">
        <f>IF(HollywoodsMostProfitableStories[[#This Row],[Worldwide Gross]]&gt;=100,"Blockbuster",IF(HollywoodsMostProfitableStories[[#This Row],[Worldwide Gross]]&gt;=50,"Hit","Average"))</f>
        <v>Hit</v>
      </c>
    </row>
    <row r="42" spans="1:11" x14ac:dyDescent="0.2">
      <c r="A42" s="1" t="s">
        <v>63</v>
      </c>
      <c r="B42" s="1" t="s">
        <v>9</v>
      </c>
      <c r="C42" s="1" t="s">
        <v>64</v>
      </c>
      <c r="D42">
        <v>47</v>
      </c>
      <c r="E42">
        <v>2.0710000000000002</v>
      </c>
      <c r="F42">
        <v>15</v>
      </c>
      <c r="G42">
        <v>20.71</v>
      </c>
      <c r="H42">
        <v>2008</v>
      </c>
      <c r="I4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42" t="str">
        <f>IF(HollywoodsMostProfitableStories[[#This Row],[Profitability]]&gt;10,"High Profit",IF(HollywoodsMostProfitableStories[[#This Row],[Profitability]]&gt;=5,"Medium Profit","Low Profit"))</f>
        <v>Low Profit</v>
      </c>
      <c r="K42" t="str">
        <f>IF(HollywoodsMostProfitableStories[[#This Row],[Worldwide Gross]]&gt;=100,"Blockbuster",IF(HollywoodsMostProfitableStories[[#This Row],[Worldwide Gross]]&gt;=50,"Hit","Average"))</f>
        <v>Average</v>
      </c>
    </row>
    <row r="43" spans="1:11" x14ac:dyDescent="0.2">
      <c r="A43" s="1" t="s">
        <v>65</v>
      </c>
      <c r="B43" s="1" t="s">
        <v>18</v>
      </c>
      <c r="C43" s="1" t="s">
        <v>14</v>
      </c>
      <c r="D43">
        <v>82</v>
      </c>
      <c r="E43">
        <v>5.1031168329999996</v>
      </c>
      <c r="F43">
        <v>21</v>
      </c>
      <c r="G43">
        <v>153.09350499999999</v>
      </c>
      <c r="H43">
        <v>2007</v>
      </c>
      <c r="I4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43" t="str">
        <f>IF(HollywoodsMostProfitableStories[[#This Row],[Profitability]]&gt;10,"High Profit",IF(HollywoodsMostProfitableStories[[#This Row],[Profitability]]&gt;=5,"Medium Profit","Low Profit"))</f>
        <v>Medium Profit</v>
      </c>
      <c r="K43" t="str">
        <f>IF(HollywoodsMostProfitableStories[[#This Row],[Worldwide Gross]]&gt;=100,"Blockbuster",IF(HollywoodsMostProfitableStories[[#This Row],[Worldwide Gross]]&gt;=50,"Hit","Average"))</f>
        <v>Blockbuster</v>
      </c>
    </row>
    <row r="44" spans="1:11" x14ac:dyDescent="0.2">
      <c r="A44" s="1" t="s">
        <v>66</v>
      </c>
      <c r="B44" s="1" t="s">
        <v>9</v>
      </c>
      <c r="C44" s="1" t="s">
        <v>43</v>
      </c>
      <c r="D44">
        <v>74</v>
      </c>
      <c r="E44">
        <v>1.3827997329999999</v>
      </c>
      <c r="F44">
        <v>52</v>
      </c>
      <c r="G44">
        <v>20.741996</v>
      </c>
      <c r="H44">
        <v>2008</v>
      </c>
      <c r="I4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44" t="str">
        <f>IF(HollywoodsMostProfitableStories[[#This Row],[Profitability]]&gt;10,"High Profit",IF(HollywoodsMostProfitableStories[[#This Row],[Profitability]]&gt;=5,"Medium Profit","Low Profit"))</f>
        <v>Low Profit</v>
      </c>
      <c r="K44" t="str">
        <f>IF(HollywoodsMostProfitableStories[[#This Row],[Worldwide Gross]]&gt;=100,"Blockbuster",IF(HollywoodsMostProfitableStories[[#This Row],[Worldwide Gross]]&gt;=50,"Hit","Average"))</f>
        <v>Average</v>
      </c>
    </row>
    <row r="45" spans="1:11" x14ac:dyDescent="0.2">
      <c r="A45" s="1" t="s">
        <v>67</v>
      </c>
      <c r="B45" s="1" t="s">
        <v>13</v>
      </c>
      <c r="C45" s="1" t="s">
        <v>14</v>
      </c>
      <c r="D45">
        <v>61</v>
      </c>
      <c r="E45">
        <v>1.3841666669999999</v>
      </c>
      <c r="F45">
        <v>85</v>
      </c>
      <c r="G45">
        <v>16.61</v>
      </c>
      <c r="H45">
        <v>2008</v>
      </c>
      <c r="I4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45" t="str">
        <f>IF(HollywoodsMostProfitableStories[[#This Row],[Profitability]]&gt;10,"High Profit",IF(HollywoodsMostProfitableStories[[#This Row],[Profitability]]&gt;=5,"Medium Profit","Low Profit"))</f>
        <v>Low Profit</v>
      </c>
      <c r="K45" t="str">
        <f>IF(HollywoodsMostProfitableStories[[#This Row],[Worldwide Gross]]&gt;=100,"Blockbuster",IF(HollywoodsMostProfitableStories[[#This Row],[Worldwide Gross]]&gt;=50,"Hit","Average"))</f>
        <v>Average</v>
      </c>
    </row>
    <row r="46" spans="1:11" x14ac:dyDescent="0.2">
      <c r="A46" s="1" t="s">
        <v>68</v>
      </c>
      <c r="B46" s="1" t="s">
        <v>13</v>
      </c>
      <c r="C46" s="1" t="s">
        <v>43</v>
      </c>
      <c r="D46">
        <v>70</v>
      </c>
      <c r="E46">
        <v>3.49125</v>
      </c>
      <c r="F46">
        <v>28</v>
      </c>
      <c r="G46">
        <v>55.86</v>
      </c>
      <c r="H46">
        <v>2010</v>
      </c>
      <c r="I4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46" t="str">
        <f>IF(HollywoodsMostProfitableStories[[#This Row],[Profitability]]&gt;10,"High Profit",IF(HollywoodsMostProfitableStories[[#This Row],[Profitability]]&gt;=5,"Medium Profit","Low Profit"))</f>
        <v>Low Profit</v>
      </c>
      <c r="K46" t="str">
        <f>IF(HollywoodsMostProfitableStories[[#This Row],[Worldwide Gross]]&gt;=100,"Blockbuster",IF(HollywoodsMostProfitableStories[[#This Row],[Worldwide Gross]]&gt;=50,"Hit","Average"))</f>
        <v>Hit</v>
      </c>
    </row>
    <row r="47" spans="1:11" x14ac:dyDescent="0.2">
      <c r="A47" s="1" t="s">
        <v>69</v>
      </c>
      <c r="B47" s="1" t="s">
        <v>9</v>
      </c>
      <c r="C47" s="1" t="s">
        <v>26</v>
      </c>
      <c r="D47">
        <v>81</v>
      </c>
      <c r="E47">
        <v>7.2217957909999999</v>
      </c>
      <c r="F47">
        <v>49</v>
      </c>
      <c r="G47">
        <v>415.25325800000002</v>
      </c>
      <c r="H47">
        <v>2008</v>
      </c>
      <c r="I4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47" t="str">
        <f>IF(HollywoodsMostProfitableStories[[#This Row],[Profitability]]&gt;10,"High Profit",IF(HollywoodsMostProfitableStories[[#This Row],[Profitability]]&gt;=5,"Medium Profit","Low Profit"))</f>
        <v>Medium Profit</v>
      </c>
      <c r="K47" t="str">
        <f>IF(HollywoodsMostProfitableStories[[#This Row],[Worldwide Gross]]&gt;=100,"Blockbuster",IF(HollywoodsMostProfitableStories[[#This Row],[Worldwide Gross]]&gt;=50,"Hit","Average"))</f>
        <v>Blockbuster</v>
      </c>
    </row>
    <row r="48" spans="1:11" x14ac:dyDescent="0.2">
      <c r="A48" s="1" t="s">
        <v>70</v>
      </c>
      <c r="B48" s="1" t="s">
        <v>9</v>
      </c>
      <c r="C48" s="1" t="s">
        <v>26</v>
      </c>
      <c r="D48">
        <v>49</v>
      </c>
      <c r="E48">
        <v>2.8835000000000002</v>
      </c>
      <c r="F48">
        <v>15</v>
      </c>
      <c r="G48">
        <v>288.35000000000002</v>
      </c>
      <c r="H48">
        <v>2010</v>
      </c>
      <c r="I4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48" t="str">
        <f>IF(HollywoodsMostProfitableStories[[#This Row],[Profitability]]&gt;10,"High Profit",IF(HollywoodsMostProfitableStories[[#This Row],[Profitability]]&gt;=5,"Medium Profit","Low Profit"))</f>
        <v>Low Profit</v>
      </c>
      <c r="K48" t="str">
        <f>IF(HollywoodsMostProfitableStories[[#This Row],[Worldwide Gross]]&gt;=100,"Blockbuster",IF(HollywoodsMostProfitableStories[[#This Row],[Worldwide Gross]]&gt;=50,"Hit","Average"))</f>
        <v>Blockbuster</v>
      </c>
    </row>
    <row r="49" spans="1:11" x14ac:dyDescent="0.2">
      <c r="A49" s="1" t="s">
        <v>71</v>
      </c>
      <c r="B49" s="1" t="s">
        <v>9</v>
      </c>
      <c r="C49" s="1" t="s">
        <v>72</v>
      </c>
      <c r="D49">
        <v>60</v>
      </c>
      <c r="E49">
        <v>2.4405000000000001</v>
      </c>
      <c r="F49">
        <v>57</v>
      </c>
      <c r="G49">
        <v>48.81</v>
      </c>
      <c r="H49">
        <v>2010</v>
      </c>
      <c r="I4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49" t="str">
        <f>IF(HollywoodsMostProfitableStories[[#This Row],[Profitability]]&gt;10,"High Profit",IF(HollywoodsMostProfitableStories[[#This Row],[Profitability]]&gt;=5,"Medium Profit","Low Profit"))</f>
        <v>Low Profit</v>
      </c>
      <c r="K49" t="str">
        <f>IF(HollywoodsMostProfitableStories[[#This Row],[Worldwide Gross]]&gt;=100,"Blockbuster",IF(HollywoodsMostProfitableStories[[#This Row],[Worldwide Gross]]&gt;=50,"Hit","Average"))</f>
        <v>Average</v>
      </c>
    </row>
    <row r="50" spans="1:11" x14ac:dyDescent="0.2">
      <c r="A50" s="1" t="s">
        <v>73</v>
      </c>
      <c r="B50" s="1" t="s">
        <v>29</v>
      </c>
      <c r="C50" s="1" t="s">
        <v>23</v>
      </c>
      <c r="D50">
        <v>88</v>
      </c>
      <c r="E50">
        <v>1.3656923080000001</v>
      </c>
      <c r="F50">
        <v>89</v>
      </c>
      <c r="G50">
        <v>355.08</v>
      </c>
      <c r="H50">
        <v>2010</v>
      </c>
      <c r="I5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50" t="str">
        <f>IF(HollywoodsMostProfitableStories[[#This Row],[Profitability]]&gt;10,"High Profit",IF(HollywoodsMostProfitableStories[[#This Row],[Profitability]]&gt;=5,"Medium Profit","Low Profit"))</f>
        <v>Low Profit</v>
      </c>
      <c r="K50" t="str">
        <f>IF(HollywoodsMostProfitableStories[[#This Row],[Worldwide Gross]]&gt;=100,"Blockbuster",IF(HollywoodsMostProfitableStories[[#This Row],[Worldwide Gross]]&gt;=50,"Hit","Average"))</f>
        <v>Blockbuster</v>
      </c>
    </row>
    <row r="51" spans="1:11" x14ac:dyDescent="0.2">
      <c r="A51" s="1" t="s">
        <v>74</v>
      </c>
      <c r="B51" s="1" t="s">
        <v>9</v>
      </c>
      <c r="C51" s="1" t="s">
        <v>75</v>
      </c>
      <c r="D51">
        <v>47</v>
      </c>
      <c r="E51">
        <v>2.2025714289999998</v>
      </c>
      <c r="F51">
        <v>20</v>
      </c>
      <c r="G51">
        <v>77.09</v>
      </c>
      <c r="H51">
        <v>2010</v>
      </c>
      <c r="I5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51" t="str">
        <f>IF(HollywoodsMostProfitableStories[[#This Row],[Profitability]]&gt;10,"High Profit",IF(HollywoodsMostProfitableStories[[#This Row],[Profitability]]&gt;=5,"Medium Profit","Low Profit"))</f>
        <v>Low Profit</v>
      </c>
      <c r="K51" t="str">
        <f>IF(HollywoodsMostProfitableStories[[#This Row],[Worldwide Gross]]&gt;=100,"Blockbuster",IF(HollywoodsMostProfitableStories[[#This Row],[Worldwide Gross]]&gt;=50,"Hit","Average"))</f>
        <v>Hit</v>
      </c>
    </row>
    <row r="52" spans="1:11" x14ac:dyDescent="0.2">
      <c r="A52" s="1" t="s">
        <v>76</v>
      </c>
      <c r="B52" s="1" t="s">
        <v>77</v>
      </c>
      <c r="C52" s="1" t="s">
        <v>26</v>
      </c>
      <c r="D52">
        <v>81</v>
      </c>
      <c r="E52">
        <v>1.7839437499999999</v>
      </c>
      <c r="F52">
        <v>73</v>
      </c>
      <c r="G52">
        <v>285.43099999999998</v>
      </c>
      <c r="H52">
        <v>2008</v>
      </c>
      <c r="I5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52" t="str">
        <f>IF(HollywoodsMostProfitableStories[[#This Row],[Profitability]]&gt;10,"High Profit",IF(HollywoodsMostProfitableStories[[#This Row],[Profitability]]&gt;=5,"Medium Profit","Low Profit"))</f>
        <v>Low Profit</v>
      </c>
      <c r="K52" t="str">
        <f>IF(HollywoodsMostProfitableStories[[#This Row],[Worldwide Gross]]&gt;=100,"Blockbuster",IF(HollywoodsMostProfitableStories[[#This Row],[Worldwide Gross]]&gt;=50,"Hit","Average"))</f>
        <v>Blockbuster</v>
      </c>
    </row>
    <row r="53" spans="1:11" x14ac:dyDescent="0.2">
      <c r="A53" s="1" t="s">
        <v>78</v>
      </c>
      <c r="B53" s="1" t="s">
        <v>13</v>
      </c>
      <c r="C53" s="1" t="s">
        <v>72</v>
      </c>
      <c r="D53">
        <v>68</v>
      </c>
      <c r="E53">
        <v>3.2078502219999998</v>
      </c>
      <c r="F53">
        <v>60</v>
      </c>
      <c r="G53">
        <v>43.305978000000003</v>
      </c>
      <c r="H53">
        <v>2008</v>
      </c>
      <c r="I5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3" t="str">
        <f>IF(HollywoodsMostProfitableStories[[#This Row],[Profitability]]&gt;10,"High Profit",IF(HollywoodsMostProfitableStories[[#This Row],[Profitability]]&gt;=5,"Medium Profit","Low Profit"))</f>
        <v>Low Profit</v>
      </c>
      <c r="K53" t="str">
        <f>IF(HollywoodsMostProfitableStories[[#This Row],[Worldwide Gross]]&gt;=100,"Blockbuster",IF(HollywoodsMostProfitableStories[[#This Row],[Worldwide Gross]]&gt;=50,"Hit","Average"))</f>
        <v>Average</v>
      </c>
    </row>
    <row r="54" spans="1:11" x14ac:dyDescent="0.2">
      <c r="A54" s="1" t="s">
        <v>79</v>
      </c>
      <c r="B54" s="1" t="s">
        <v>9</v>
      </c>
      <c r="C54" s="1" t="s">
        <v>72</v>
      </c>
      <c r="D54">
        <v>41</v>
      </c>
      <c r="E54">
        <v>2.1294441669999999</v>
      </c>
      <c r="F54">
        <v>30</v>
      </c>
      <c r="G54">
        <v>127.76665</v>
      </c>
      <c r="H54">
        <v>2007</v>
      </c>
      <c r="I5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54" t="str">
        <f>IF(HollywoodsMostProfitableStories[[#This Row],[Profitability]]&gt;10,"High Profit",IF(HollywoodsMostProfitableStories[[#This Row],[Profitability]]&gt;=5,"Medium Profit","Low Profit"))</f>
        <v>Low Profit</v>
      </c>
      <c r="K54" t="str">
        <f>IF(HollywoodsMostProfitableStories[[#This Row],[Worldwide Gross]]&gt;=100,"Blockbuster",IF(HollywoodsMostProfitableStories[[#This Row],[Worldwide Gross]]&gt;=50,"Hit","Average"))</f>
        <v>Blockbuster</v>
      </c>
    </row>
    <row r="55" spans="1:11" x14ac:dyDescent="0.2">
      <c r="A55" s="1" t="s">
        <v>80</v>
      </c>
      <c r="B55" s="1" t="s">
        <v>9</v>
      </c>
      <c r="C55" s="1" t="s">
        <v>26</v>
      </c>
      <c r="D55">
        <v>47</v>
      </c>
      <c r="E55">
        <v>1.7513513510000001</v>
      </c>
      <c r="F55">
        <v>56</v>
      </c>
      <c r="G55">
        <v>32.4</v>
      </c>
      <c r="H55">
        <v>2009</v>
      </c>
      <c r="I5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55" t="str">
        <f>IF(HollywoodsMostProfitableStories[[#This Row],[Profitability]]&gt;10,"High Profit",IF(HollywoodsMostProfitableStories[[#This Row],[Profitability]]&gt;=5,"Medium Profit","Low Profit"))</f>
        <v>Low Profit</v>
      </c>
      <c r="K55" t="str">
        <f>IF(HollywoodsMostProfitableStories[[#This Row],[Worldwide Gross]]&gt;=100,"Blockbuster",IF(HollywoodsMostProfitableStories[[#This Row],[Worldwide Gross]]&gt;=50,"Hit","Average"))</f>
        <v>Average</v>
      </c>
    </row>
    <row r="56" spans="1:11" x14ac:dyDescent="0.2">
      <c r="A56" s="1" t="s">
        <v>81</v>
      </c>
      <c r="B56" s="1" t="s">
        <v>9</v>
      </c>
      <c r="C56" s="1" t="s">
        <v>23</v>
      </c>
      <c r="D56">
        <v>74</v>
      </c>
      <c r="E56">
        <v>7.8674999999999997</v>
      </c>
      <c r="F56">
        <v>43</v>
      </c>
      <c r="G56">
        <v>314.7</v>
      </c>
      <c r="H56">
        <v>2009</v>
      </c>
      <c r="I5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6" t="str">
        <f>IF(HollywoodsMostProfitableStories[[#This Row],[Profitability]]&gt;10,"High Profit",IF(HollywoodsMostProfitableStories[[#This Row],[Profitability]]&gt;=5,"Medium Profit","Low Profit"))</f>
        <v>Medium Profit</v>
      </c>
      <c r="K56" t="str">
        <f>IF(HollywoodsMostProfitableStories[[#This Row],[Worldwide Gross]]&gt;=100,"Blockbuster",IF(HollywoodsMostProfitableStories[[#This Row],[Worldwide Gross]]&gt;=50,"Hit","Average"))</f>
        <v>Blockbuster</v>
      </c>
    </row>
    <row r="57" spans="1:11" x14ac:dyDescent="0.2">
      <c r="A57" s="1" t="s">
        <v>82</v>
      </c>
      <c r="B57" s="1" t="s">
        <v>13</v>
      </c>
      <c r="C57" s="1" t="s">
        <v>72</v>
      </c>
      <c r="D57">
        <v>65</v>
      </c>
      <c r="E57">
        <v>2.598205128</v>
      </c>
      <c r="F57">
        <v>38</v>
      </c>
      <c r="G57">
        <v>101.33</v>
      </c>
      <c r="H57">
        <v>2009</v>
      </c>
      <c r="I5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7" t="str">
        <f>IF(HollywoodsMostProfitableStories[[#This Row],[Profitability]]&gt;10,"High Profit",IF(HollywoodsMostProfitableStories[[#This Row],[Profitability]]&gt;=5,"Medium Profit","Low Profit"))</f>
        <v>Low Profit</v>
      </c>
      <c r="K57" t="str">
        <f>IF(HollywoodsMostProfitableStories[[#This Row],[Worldwide Gross]]&gt;=100,"Blockbuster",IF(HollywoodsMostProfitableStories[[#This Row],[Worldwide Gross]]&gt;=50,"Hit","Average"))</f>
        <v>Blockbuster</v>
      </c>
    </row>
    <row r="58" spans="1:11" x14ac:dyDescent="0.2">
      <c r="A58" s="1" t="s">
        <v>83</v>
      </c>
      <c r="B58" s="1" t="s">
        <v>13</v>
      </c>
      <c r="C58" s="1" t="s">
        <v>43</v>
      </c>
      <c r="D58">
        <v>78</v>
      </c>
      <c r="E58">
        <v>14.196400000000001</v>
      </c>
      <c r="F58">
        <v>27</v>
      </c>
      <c r="G58">
        <v>709.82</v>
      </c>
      <c r="H58">
        <v>2009</v>
      </c>
      <c r="I5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8" t="str">
        <f>IF(HollywoodsMostProfitableStories[[#This Row],[Profitability]]&gt;10,"High Profit",IF(HollywoodsMostProfitableStories[[#This Row],[Profitability]]&gt;=5,"Medium Profit","Low Profit"))</f>
        <v>High Profit</v>
      </c>
      <c r="K58" t="str">
        <f>IF(HollywoodsMostProfitableStories[[#This Row],[Worldwide Gross]]&gt;=100,"Blockbuster",IF(HollywoodsMostProfitableStories[[#This Row],[Worldwide Gross]]&gt;=50,"Hit","Average"))</f>
        <v>Blockbuster</v>
      </c>
    </row>
    <row r="59" spans="1:11" x14ac:dyDescent="0.2">
      <c r="A59" s="1" t="s">
        <v>84</v>
      </c>
      <c r="B59" s="1" t="s">
        <v>9</v>
      </c>
      <c r="C59" s="1" t="s">
        <v>14</v>
      </c>
      <c r="D59">
        <v>68</v>
      </c>
      <c r="E59">
        <v>5.4026315790000004</v>
      </c>
      <c r="F59">
        <v>14</v>
      </c>
      <c r="G59">
        <v>205.3</v>
      </c>
      <c r="H59">
        <v>2009</v>
      </c>
      <c r="I5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59" t="str">
        <f>IF(HollywoodsMostProfitableStories[[#This Row],[Profitability]]&gt;10,"High Profit",IF(HollywoodsMostProfitableStories[[#This Row],[Profitability]]&gt;=5,"Medium Profit","Low Profit"))</f>
        <v>Medium Profit</v>
      </c>
      <c r="K59" t="str">
        <f>IF(HollywoodsMostProfitableStories[[#This Row],[Worldwide Gross]]&gt;=100,"Blockbuster",IF(HollywoodsMostProfitableStories[[#This Row],[Worldwide Gross]]&gt;=50,"Hit","Average"))</f>
        <v>Blockbuster</v>
      </c>
    </row>
    <row r="60" spans="1:11" x14ac:dyDescent="0.2">
      <c r="A60" s="1" t="s">
        <v>85</v>
      </c>
      <c r="B60" s="1" t="s">
        <v>18</v>
      </c>
      <c r="C60" s="1" t="s">
        <v>43</v>
      </c>
      <c r="D60">
        <v>82</v>
      </c>
      <c r="E60">
        <v>10.18002703</v>
      </c>
      <c r="F60">
        <v>49</v>
      </c>
      <c r="G60">
        <v>376.661</v>
      </c>
      <c r="H60">
        <v>2008</v>
      </c>
      <c r="I6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60" t="str">
        <f>IF(HollywoodsMostProfitableStories[[#This Row],[Profitability]]&gt;10,"High Profit",IF(HollywoodsMostProfitableStories[[#This Row],[Profitability]]&gt;=5,"Medium Profit","Low Profit"))</f>
        <v>High Profit</v>
      </c>
      <c r="K60" t="str">
        <f>IF(HollywoodsMostProfitableStories[[#This Row],[Worldwide Gross]]&gt;=100,"Blockbuster",IF(HollywoodsMostProfitableStories[[#This Row],[Worldwide Gross]]&gt;=50,"Hit","Average"))</f>
        <v>Blockbuster</v>
      </c>
    </row>
    <row r="61" spans="1:11" x14ac:dyDescent="0.2">
      <c r="A61" s="1" t="s">
        <v>86</v>
      </c>
      <c r="B61" s="1" t="s">
        <v>18</v>
      </c>
      <c r="C61" s="1" t="s">
        <v>14</v>
      </c>
      <c r="D61">
        <v>68</v>
      </c>
      <c r="E61">
        <v>6.3833636360000003</v>
      </c>
      <c r="F61">
        <v>26</v>
      </c>
      <c r="G61">
        <v>702.17</v>
      </c>
      <c r="H61">
        <v>2011</v>
      </c>
      <c r="I6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61" t="str">
        <f>IF(HollywoodsMostProfitableStories[[#This Row],[Profitability]]&gt;10,"High Profit",IF(HollywoodsMostProfitableStories[[#This Row],[Profitability]]&gt;=5,"Medium Profit","Low Profit"))</f>
        <v>Medium Profit</v>
      </c>
      <c r="K61" t="str">
        <f>IF(HollywoodsMostProfitableStories[[#This Row],[Worldwide Gross]]&gt;=100,"Blockbuster",IF(HollywoodsMostProfitableStories[[#This Row],[Worldwide Gross]]&gt;=50,"Hit","Average"))</f>
        <v>Blockbuster</v>
      </c>
    </row>
    <row r="62" spans="1:11" x14ac:dyDescent="0.2">
      <c r="A62" s="1" t="s">
        <v>87</v>
      </c>
      <c r="B62" s="1" t="s">
        <v>18</v>
      </c>
      <c r="C62" s="1" t="s">
        <v>14</v>
      </c>
      <c r="D62">
        <v>47</v>
      </c>
      <c r="E62">
        <v>3.7241924000000002</v>
      </c>
      <c r="F62">
        <v>46</v>
      </c>
      <c r="G62">
        <v>55.862886000000003</v>
      </c>
      <c r="H62">
        <v>2007</v>
      </c>
      <c r="I62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62" t="str">
        <f>IF(HollywoodsMostProfitableStories[[#This Row],[Profitability]]&gt;10,"High Profit",IF(HollywoodsMostProfitableStories[[#This Row],[Profitability]]&gt;=5,"Medium Profit","Low Profit"))</f>
        <v>Low Profit</v>
      </c>
      <c r="K62" t="str">
        <f>IF(HollywoodsMostProfitableStories[[#This Row],[Worldwide Gross]]&gt;=100,"Blockbuster",IF(HollywoodsMostProfitableStories[[#This Row],[Worldwide Gross]]&gt;=50,"Hit","Average"))</f>
        <v>Hit</v>
      </c>
    </row>
    <row r="63" spans="1:11" x14ac:dyDescent="0.2">
      <c r="A63" s="1" t="s">
        <v>88</v>
      </c>
      <c r="B63" s="1" t="s">
        <v>9</v>
      </c>
      <c r="C63" s="1" t="s">
        <v>26</v>
      </c>
      <c r="D63">
        <v>54</v>
      </c>
      <c r="E63">
        <v>4.1840384620000002</v>
      </c>
      <c r="F63">
        <v>17</v>
      </c>
      <c r="G63">
        <v>217.57</v>
      </c>
      <c r="H63">
        <v>2010</v>
      </c>
      <c r="I63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63" t="str">
        <f>IF(HollywoodsMostProfitableStories[[#This Row],[Profitability]]&gt;10,"High Profit",IF(HollywoodsMostProfitableStories[[#This Row],[Profitability]]&gt;=5,"Medium Profit","Low Profit"))</f>
        <v>Low Profit</v>
      </c>
      <c r="K63" t="str">
        <f>IF(HollywoodsMostProfitableStories[[#This Row],[Worldwide Gross]]&gt;=100,"Blockbuster",IF(HollywoodsMostProfitableStories[[#This Row],[Worldwide Gross]]&gt;=50,"Hit","Average"))</f>
        <v>Blockbuster</v>
      </c>
    </row>
    <row r="64" spans="1:11" x14ac:dyDescent="0.2">
      <c r="A64" s="1" t="s">
        <v>89</v>
      </c>
      <c r="B64" s="1" t="s">
        <v>18</v>
      </c>
      <c r="C64" s="1" t="s">
        <v>14</v>
      </c>
      <c r="D64">
        <v>53</v>
      </c>
      <c r="E64">
        <v>5.0000000000000001E-3</v>
      </c>
      <c r="F64">
        <v>6</v>
      </c>
      <c r="G64">
        <v>2.5000000000000001E-2</v>
      </c>
      <c r="H64">
        <v>2011</v>
      </c>
      <c r="I64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64" t="str">
        <f>IF(HollywoodsMostProfitableStories[[#This Row],[Profitability]]&gt;10,"High Profit",IF(HollywoodsMostProfitableStories[[#This Row],[Profitability]]&gt;=5,"Medium Profit","Low Profit"))</f>
        <v>Low Profit</v>
      </c>
      <c r="K64" t="str">
        <f>IF(HollywoodsMostProfitableStories[[#This Row],[Worldwide Gross]]&gt;=100,"Blockbuster",IF(HollywoodsMostProfitableStories[[#This Row],[Worldwide Gross]]&gt;=50,"Hit","Average"))</f>
        <v>Average</v>
      </c>
    </row>
    <row r="65" spans="1:11" x14ac:dyDescent="0.2">
      <c r="A65" s="1" t="s">
        <v>90</v>
      </c>
      <c r="B65" s="1" t="s">
        <v>18</v>
      </c>
      <c r="C65" s="1" t="s">
        <v>14</v>
      </c>
      <c r="D65">
        <v>67</v>
      </c>
      <c r="E65">
        <v>11.089741500000001</v>
      </c>
      <c r="F65">
        <v>89</v>
      </c>
      <c r="G65">
        <v>22.179483000000001</v>
      </c>
      <c r="H65">
        <v>2007</v>
      </c>
      <c r="I65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65" t="str">
        <f>IF(HollywoodsMostProfitableStories[[#This Row],[Profitability]]&gt;10,"High Profit",IF(HollywoodsMostProfitableStories[[#This Row],[Profitability]]&gt;=5,"Medium Profit","Low Profit"))</f>
        <v>High Profit</v>
      </c>
      <c r="K65" t="str">
        <f>IF(HollywoodsMostProfitableStories[[#This Row],[Worldwide Gross]]&gt;=100,"Blockbuster",IF(HollywoodsMostProfitableStories[[#This Row],[Worldwide Gross]]&gt;=50,"Hit","Average"))</f>
        <v>Average</v>
      </c>
    </row>
    <row r="66" spans="1:11" x14ac:dyDescent="0.2">
      <c r="A66" s="1" t="s">
        <v>91</v>
      </c>
      <c r="B66" s="1" t="s">
        <v>29</v>
      </c>
      <c r="C66" s="1" t="s">
        <v>23</v>
      </c>
      <c r="D66">
        <v>89</v>
      </c>
      <c r="E66">
        <v>2.8960190670000001</v>
      </c>
      <c r="F66">
        <v>96</v>
      </c>
      <c r="G66">
        <v>521.28343199999995</v>
      </c>
      <c r="H66">
        <v>2008</v>
      </c>
      <c r="I66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Excellent</v>
      </c>
      <c r="J66" t="str">
        <f>IF(HollywoodsMostProfitableStories[[#This Row],[Profitability]]&gt;10,"High Profit",IF(HollywoodsMostProfitableStories[[#This Row],[Profitability]]&gt;=5,"Medium Profit","Low Profit"))</f>
        <v>Low Profit</v>
      </c>
      <c r="K66" t="str">
        <f>IF(HollywoodsMostProfitableStories[[#This Row],[Worldwide Gross]]&gt;=100,"Blockbuster",IF(HollywoodsMostProfitableStories[[#This Row],[Worldwide Gross]]&gt;=50,"Hit","Average"))</f>
        <v>Blockbuster</v>
      </c>
    </row>
    <row r="67" spans="1:11" x14ac:dyDescent="0.2">
      <c r="A67" s="1" t="s">
        <v>92</v>
      </c>
      <c r="B67" s="1" t="s">
        <v>13</v>
      </c>
      <c r="C67" s="1" t="s">
        <v>54</v>
      </c>
      <c r="D67">
        <v>72</v>
      </c>
      <c r="E67">
        <v>3.0814210530000001</v>
      </c>
      <c r="F67">
        <v>60</v>
      </c>
      <c r="G67">
        <v>117.09399999999999</v>
      </c>
      <c r="H67">
        <v>2011</v>
      </c>
      <c r="I67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67" t="str">
        <f>IF(HollywoodsMostProfitableStories[[#This Row],[Profitability]]&gt;10,"High Profit",IF(HollywoodsMostProfitableStories[[#This Row],[Profitability]]&gt;=5,"Medium Profit","Low Profit"))</f>
        <v>Low Profit</v>
      </c>
      <c r="K67" t="str">
        <f>IF(HollywoodsMostProfitableStories[[#This Row],[Worldwide Gross]]&gt;=100,"Blockbuster",IF(HollywoodsMostProfitableStories[[#This Row],[Worldwide Gross]]&gt;=50,"Hit","Average"))</f>
        <v>Blockbuster</v>
      </c>
    </row>
    <row r="68" spans="1:11" x14ac:dyDescent="0.2">
      <c r="A68" s="1" t="s">
        <v>93</v>
      </c>
      <c r="B68" s="1" t="s">
        <v>9</v>
      </c>
      <c r="C68" s="1" t="s">
        <v>10</v>
      </c>
      <c r="D68">
        <v>72</v>
      </c>
      <c r="E68">
        <v>6.2676470289999999</v>
      </c>
      <c r="F68">
        <v>28</v>
      </c>
      <c r="G68">
        <v>219.36764600000001</v>
      </c>
      <c r="H68">
        <v>2008</v>
      </c>
      <c r="I68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68" t="str">
        <f>IF(HollywoodsMostProfitableStories[[#This Row],[Profitability]]&gt;10,"High Profit",IF(HollywoodsMostProfitableStories[[#This Row],[Profitability]]&gt;=5,"Medium Profit","Low Profit"))</f>
        <v>Medium Profit</v>
      </c>
      <c r="K68" t="str">
        <f>IF(HollywoodsMostProfitableStories[[#This Row],[Worldwide Gross]]&gt;=100,"Blockbuster",IF(HollywoodsMostProfitableStories[[#This Row],[Worldwide Gross]]&gt;=50,"Hit","Average"))</f>
        <v>Blockbuster</v>
      </c>
    </row>
    <row r="69" spans="1:11" x14ac:dyDescent="0.2">
      <c r="A69" s="1" t="s">
        <v>94</v>
      </c>
      <c r="B69" s="1" t="s">
        <v>9</v>
      </c>
      <c r="C69" s="1" t="s">
        <v>14</v>
      </c>
      <c r="D69">
        <v>35</v>
      </c>
      <c r="E69">
        <v>1.211818182</v>
      </c>
      <c r="F69">
        <v>43</v>
      </c>
      <c r="G69">
        <v>26.66</v>
      </c>
      <c r="H69">
        <v>2010</v>
      </c>
      <c r="I69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Poor</v>
      </c>
      <c r="J69" t="str">
        <f>IF(HollywoodsMostProfitableStories[[#This Row],[Profitability]]&gt;10,"High Profit",IF(HollywoodsMostProfitableStories[[#This Row],[Profitability]]&gt;=5,"Medium Profit","Low Profit"))</f>
        <v>Low Profit</v>
      </c>
      <c r="K69" t="str">
        <f>IF(HollywoodsMostProfitableStories[[#This Row],[Worldwide Gross]]&gt;=100,"Blockbuster",IF(HollywoodsMostProfitableStories[[#This Row],[Worldwide Gross]]&gt;=50,"Hit","Average"))</f>
        <v>Average</v>
      </c>
    </row>
    <row r="70" spans="1:11" x14ac:dyDescent="0.2">
      <c r="A70" s="1" t="s">
        <v>95</v>
      </c>
      <c r="B70" s="1" t="s">
        <v>9</v>
      </c>
      <c r="C70" s="1" t="s">
        <v>57</v>
      </c>
      <c r="D70">
        <v>52</v>
      </c>
      <c r="E70">
        <v>1.0900000000000001</v>
      </c>
      <c r="F70">
        <v>68</v>
      </c>
      <c r="G70">
        <v>19.62</v>
      </c>
      <c r="H70">
        <v>2010</v>
      </c>
      <c r="I70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Average</v>
      </c>
      <c r="J70" t="str">
        <f>IF(HollywoodsMostProfitableStories[[#This Row],[Profitability]]&gt;10,"High Profit",IF(HollywoodsMostProfitableStories[[#This Row],[Profitability]]&gt;=5,"Medium Profit","Low Profit"))</f>
        <v>Low Profit</v>
      </c>
      <c r="K70" t="str">
        <f>IF(HollywoodsMostProfitableStories[[#This Row],[Worldwide Gross]]&gt;=100,"Blockbuster",IF(HollywoodsMostProfitableStories[[#This Row],[Worldwide Gross]]&gt;=50,"Hit","Average"))</f>
        <v>Average</v>
      </c>
    </row>
    <row r="71" spans="1:11" x14ac:dyDescent="0.2">
      <c r="A71" s="1" t="s">
        <v>96</v>
      </c>
      <c r="B71" s="1" t="s">
        <v>18</v>
      </c>
      <c r="C71" s="1" t="s">
        <v>57</v>
      </c>
      <c r="D71">
        <v>70</v>
      </c>
      <c r="E71">
        <v>1.7475416669999999</v>
      </c>
      <c r="F71">
        <v>64</v>
      </c>
      <c r="G71">
        <v>41.941000000000003</v>
      </c>
      <c r="H71">
        <v>2008</v>
      </c>
      <c r="I71" t="str">
        <f>IF(HollywoodsMostProfitableStories[[#This Row],[Audience  score %]]&gt;=80,"Excellent",IF(HollywoodsMostProfitableStories[[#This Row],[Audience  score %]]&gt;=60,"Good",IF(HollywoodsMostProfitableStories[[#This Row],[Audience  score %]]&gt;=40,"Average","Poor")))</f>
        <v>Good</v>
      </c>
      <c r="J71" t="str">
        <f>IF(HollywoodsMostProfitableStories[[#This Row],[Profitability]]&gt;10,"High Profit",IF(HollywoodsMostProfitableStories[[#This Row],[Profitability]]&gt;=5,"Medium Profit","Low Profit"))</f>
        <v>Low Profit</v>
      </c>
      <c r="K71" t="str">
        <f>IF(HollywoodsMostProfitableStories[[#This Row],[Worldwide Gross]]&gt;=100,"Blockbuster",IF(HollywoodsMostProfitableStories[[#This Row],[Worldwide Gross]]&gt;=50,"Hit","Average"))</f>
        <v>Average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9DE36B-5724-774F-8649-5F3F08652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Hollywoods Movie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Gawai</dc:creator>
  <cp:lastModifiedBy>Lavanya Gawai</cp:lastModifiedBy>
  <dcterms:created xsi:type="dcterms:W3CDTF">2026-06-12T16:11:05Z</dcterms:created>
  <dcterms:modified xsi:type="dcterms:W3CDTF">2026-06-12T17:41:50Z</dcterms:modified>
</cp:coreProperties>
</file>